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my_excel_project\"/>
    </mc:Choice>
  </mc:AlternateContent>
  <xr:revisionPtr revIDLastSave="0" documentId="8_{5E4688A5-3AD6-42E4-B0D7-EB31F93725F2}" xr6:coauthVersionLast="47" xr6:coauthVersionMax="47" xr10:uidLastSave="{00000000-0000-0000-0000-000000000000}"/>
  <bookViews>
    <workbookView xWindow="-108" yWindow="-108" windowWidth="23256" windowHeight="12456" activeTab="3" xr2:uid="{00000000-000D-0000-FFFF-FFFF00000000}"/>
  </bookViews>
  <sheets>
    <sheet name="Sheet1" sheetId="2" r:id="rId1"/>
    <sheet name="Sheet2" sheetId="3" r:id="rId2"/>
    <sheet name="Sheet3" sheetId="4" r:id="rId3"/>
    <sheet name="Dashboard" sheetId="5" r:id="rId4"/>
    <sheet name="Sales_Data" sheetId="1" r:id="rId5"/>
  </sheets>
  <definedNames>
    <definedName name="Slicer_Product">#N/A</definedName>
    <definedName name="Slicer_Region">#N/A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5" i="5" l="1"/>
  <c r="D35" i="5"/>
</calcChain>
</file>

<file path=xl/sharedStrings.xml><?xml version="1.0" encoding="utf-8"?>
<sst xmlns="http://schemas.openxmlformats.org/spreadsheetml/2006/main" count="1230" uniqueCount="367">
  <si>
    <t>Order ID</t>
  </si>
  <si>
    <t>Date</t>
  </si>
  <si>
    <t>Salesperson</t>
  </si>
  <si>
    <t>Region</t>
  </si>
  <si>
    <t>Product</t>
  </si>
  <si>
    <t>Category</t>
  </si>
  <si>
    <t>Units Sold</t>
  </si>
  <si>
    <t>Unit Price</t>
  </si>
  <si>
    <t>Discount</t>
  </si>
  <si>
    <t>Total Sales</t>
  </si>
  <si>
    <t>ORD001</t>
  </si>
  <si>
    <t>04-03-2026</t>
  </si>
  <si>
    <t>Bob</t>
  </si>
  <si>
    <t>North</t>
  </si>
  <si>
    <t>Webcam</t>
  </si>
  <si>
    <t>Accessories</t>
  </si>
  <si>
    <t>ORD002</t>
  </si>
  <si>
    <t>01-06-2026</t>
  </si>
  <si>
    <t>Diana</t>
  </si>
  <si>
    <t>East</t>
  </si>
  <si>
    <t>ORD003</t>
  </si>
  <si>
    <t>24-05-2026</t>
  </si>
  <si>
    <t>West</t>
  </si>
  <si>
    <t>Laptop</t>
  </si>
  <si>
    <t>Electronics</t>
  </si>
  <si>
    <t>ORD004</t>
  </si>
  <si>
    <t>14-07-2026</t>
  </si>
  <si>
    <t>Keyboard</t>
  </si>
  <si>
    <t>ORD005</t>
  </si>
  <si>
    <t>27-01-2026</t>
  </si>
  <si>
    <t>Alice</t>
  </si>
  <si>
    <t>Monitor</t>
  </si>
  <si>
    <t>ORD006</t>
  </si>
  <si>
    <t>26-07-2026</t>
  </si>
  <si>
    <t>ORD007</t>
  </si>
  <si>
    <t>21-01-2026</t>
  </si>
  <si>
    <t>Ethan</t>
  </si>
  <si>
    <t>South</t>
  </si>
  <si>
    <t>Printer</t>
  </si>
  <si>
    <t>ORD008</t>
  </si>
  <si>
    <t>28-05-2026</t>
  </si>
  <si>
    <t>ORD009</t>
  </si>
  <si>
    <t>ORD010</t>
  </si>
  <si>
    <t>11-02-2026</t>
  </si>
  <si>
    <t>Charlie</t>
  </si>
  <si>
    <t>Mouse</t>
  </si>
  <si>
    <t>ORD011</t>
  </si>
  <si>
    <t>05-06-2026</t>
  </si>
  <si>
    <t>Fiona</t>
  </si>
  <si>
    <t>ORD012</t>
  </si>
  <si>
    <t>08-04-2026</t>
  </si>
  <si>
    <t>ORD013</t>
  </si>
  <si>
    <t>28-02-2026</t>
  </si>
  <si>
    <t>ORD014</t>
  </si>
  <si>
    <t>24-02-2026</t>
  </si>
  <si>
    <t>ORD015</t>
  </si>
  <si>
    <t>06-02-2026</t>
  </si>
  <si>
    <t>ORD016</t>
  </si>
  <si>
    <t>11-07-2026</t>
  </si>
  <si>
    <t>ORD017</t>
  </si>
  <si>
    <t>11-05-2026</t>
  </si>
  <si>
    <t>ORD018</t>
  </si>
  <si>
    <t>22-07-2026</t>
  </si>
  <si>
    <t>ORD019</t>
  </si>
  <si>
    <t>16-05-2026</t>
  </si>
  <si>
    <t>ORD020</t>
  </si>
  <si>
    <t>16-07-2026</t>
  </si>
  <si>
    <t>ORD021</t>
  </si>
  <si>
    <t>01-01-2026</t>
  </si>
  <si>
    <t>ORD022</t>
  </si>
  <si>
    <t>11-08-2026</t>
  </si>
  <si>
    <t>ORD023</t>
  </si>
  <si>
    <t>06-04-2026</t>
  </si>
  <si>
    <t>ORD024</t>
  </si>
  <si>
    <t>26-08-2026</t>
  </si>
  <si>
    <t>ORD025</t>
  </si>
  <si>
    <t>22-01-2026</t>
  </si>
  <si>
    <t>ORD026</t>
  </si>
  <si>
    <t>02-02-2026</t>
  </si>
  <si>
    <t>ORD027</t>
  </si>
  <si>
    <t>ORD028</t>
  </si>
  <si>
    <t>23-04-2026</t>
  </si>
  <si>
    <t>ORD029</t>
  </si>
  <si>
    <t>06-01-2026</t>
  </si>
  <si>
    <t>ORD030</t>
  </si>
  <si>
    <t>ORD031</t>
  </si>
  <si>
    <t>21-06-2026</t>
  </si>
  <si>
    <t>ORD032</t>
  </si>
  <si>
    <t>ORD033</t>
  </si>
  <si>
    <t>01-04-2026</t>
  </si>
  <si>
    <t>ORD034</t>
  </si>
  <si>
    <t>16-01-2026</t>
  </si>
  <si>
    <t>ORD035</t>
  </si>
  <si>
    <t>05-02-2026</t>
  </si>
  <si>
    <t>ORD036</t>
  </si>
  <si>
    <t>24-04-2026</t>
  </si>
  <si>
    <t>ORD037</t>
  </si>
  <si>
    <t>24-01-2026</t>
  </si>
  <si>
    <t>ORD038</t>
  </si>
  <si>
    <t>20-08-2026</t>
  </si>
  <si>
    <t>ORD039</t>
  </si>
  <si>
    <t>ORD040</t>
  </si>
  <si>
    <t>09-02-2026</t>
  </si>
  <si>
    <t>ORD041</t>
  </si>
  <si>
    <t>ORD042</t>
  </si>
  <si>
    <t>15-01-2026</t>
  </si>
  <si>
    <t>ORD043</t>
  </si>
  <si>
    <t>14-04-2026</t>
  </si>
  <si>
    <t>ORD044</t>
  </si>
  <si>
    <t>18-04-2026</t>
  </si>
  <si>
    <t>ORD045</t>
  </si>
  <si>
    <t>03-03-2026</t>
  </si>
  <si>
    <t>ORD046</t>
  </si>
  <si>
    <t>22-03-2026</t>
  </si>
  <si>
    <t>ORD047</t>
  </si>
  <si>
    <t>19-01-2026</t>
  </si>
  <si>
    <t>ORD048</t>
  </si>
  <si>
    <t>14-08-2026</t>
  </si>
  <si>
    <t>ORD049</t>
  </si>
  <si>
    <t>06-06-2026</t>
  </si>
  <si>
    <t>ORD050</t>
  </si>
  <si>
    <t>29-08-2026</t>
  </si>
  <si>
    <t>ORD051</t>
  </si>
  <si>
    <t>11-03-2026</t>
  </si>
  <si>
    <t>ORD052</t>
  </si>
  <si>
    <t>10-05-2026</t>
  </si>
  <si>
    <t>ORD053</t>
  </si>
  <si>
    <t>12-01-2026</t>
  </si>
  <si>
    <t>ORD054</t>
  </si>
  <si>
    <t>09-07-2026</t>
  </si>
  <si>
    <t>ORD055</t>
  </si>
  <si>
    <t>20-05-2026</t>
  </si>
  <si>
    <t>ORD056</t>
  </si>
  <si>
    <t>11-01-2026</t>
  </si>
  <si>
    <t>ORD057</t>
  </si>
  <si>
    <t>20-06-2026</t>
  </si>
  <si>
    <t>ORD058</t>
  </si>
  <si>
    <t>25-08-2026</t>
  </si>
  <si>
    <t>ORD059</t>
  </si>
  <si>
    <t>08-07-2026</t>
  </si>
  <si>
    <t>ORD060</t>
  </si>
  <si>
    <t>10-03-2026</t>
  </si>
  <si>
    <t>ORD061</t>
  </si>
  <si>
    <t>26-02-2026</t>
  </si>
  <si>
    <t>ORD062</t>
  </si>
  <si>
    <t>27-02-2026</t>
  </si>
  <si>
    <t>ORD063</t>
  </si>
  <si>
    <t>17-07-2026</t>
  </si>
  <si>
    <t>ORD064</t>
  </si>
  <si>
    <t>ORD065</t>
  </si>
  <si>
    <t>10-01-2026</t>
  </si>
  <si>
    <t>ORD066</t>
  </si>
  <si>
    <t>ORD067</t>
  </si>
  <si>
    <t>ORD068</t>
  </si>
  <si>
    <t>04-04-2026</t>
  </si>
  <si>
    <t>ORD069</t>
  </si>
  <si>
    <t>19-06-2026</t>
  </si>
  <si>
    <t>ORD070</t>
  </si>
  <si>
    <t>ORD071</t>
  </si>
  <si>
    <t>23-06-2026</t>
  </si>
  <si>
    <t>ORD072</t>
  </si>
  <si>
    <t>19-03-2026</t>
  </si>
  <si>
    <t>ORD073</t>
  </si>
  <si>
    <t>30-04-2026</t>
  </si>
  <si>
    <t>ORD074</t>
  </si>
  <si>
    <t>18-06-2026</t>
  </si>
  <si>
    <t>ORD075</t>
  </si>
  <si>
    <t>ORD076</t>
  </si>
  <si>
    <t>ORD077</t>
  </si>
  <si>
    <t>17-04-2026</t>
  </si>
  <si>
    <t>ORD078</t>
  </si>
  <si>
    <t>ORD079</t>
  </si>
  <si>
    <t>25-07-2026</t>
  </si>
  <si>
    <t>ORD080</t>
  </si>
  <si>
    <t>27-04-2026</t>
  </si>
  <si>
    <t>ORD081</t>
  </si>
  <si>
    <t>01-09-2026</t>
  </si>
  <si>
    <t>ORD082</t>
  </si>
  <si>
    <t>26-04-2026</t>
  </si>
  <si>
    <t>ORD083</t>
  </si>
  <si>
    <t>10-06-2026</t>
  </si>
  <si>
    <t>ORD084</t>
  </si>
  <si>
    <t>ORD085</t>
  </si>
  <si>
    <t>09-04-2026</t>
  </si>
  <si>
    <t>ORD086</t>
  </si>
  <si>
    <t>26-03-2026</t>
  </si>
  <si>
    <t>ORD087</t>
  </si>
  <si>
    <t>10-04-2026</t>
  </si>
  <si>
    <t>ORD088</t>
  </si>
  <si>
    <t>18-03-2026</t>
  </si>
  <si>
    <t>ORD089</t>
  </si>
  <si>
    <t>05-05-2026</t>
  </si>
  <si>
    <t>ORD090</t>
  </si>
  <si>
    <t>ORD091</t>
  </si>
  <si>
    <t>09-06-2026</t>
  </si>
  <si>
    <t>ORD092</t>
  </si>
  <si>
    <t>ORD093</t>
  </si>
  <si>
    <t>08-03-2026</t>
  </si>
  <si>
    <t>ORD094</t>
  </si>
  <si>
    <t>13-03-2026</t>
  </si>
  <si>
    <t>ORD095</t>
  </si>
  <si>
    <t>ORD096</t>
  </si>
  <si>
    <t>13-07-2026</t>
  </si>
  <si>
    <t>ORD097</t>
  </si>
  <si>
    <t>ORD098</t>
  </si>
  <si>
    <t>ORD099</t>
  </si>
  <si>
    <t>19-07-2026</t>
  </si>
  <si>
    <t>ORD100</t>
  </si>
  <si>
    <t>ORD101</t>
  </si>
  <si>
    <t>ORD102</t>
  </si>
  <si>
    <t>30-03-2026</t>
  </si>
  <si>
    <t>ORD103</t>
  </si>
  <si>
    <t>04-01-2026</t>
  </si>
  <si>
    <t>ORD104</t>
  </si>
  <si>
    <t>01-07-2026</t>
  </si>
  <si>
    <t>ORD105</t>
  </si>
  <si>
    <t>07-06-2026</t>
  </si>
  <si>
    <t>ORD106</t>
  </si>
  <si>
    <t>24-03-2026</t>
  </si>
  <si>
    <t>ORD107</t>
  </si>
  <si>
    <t>26-05-2026</t>
  </si>
  <si>
    <t>ORD108</t>
  </si>
  <si>
    <t>16-02-2026</t>
  </si>
  <si>
    <t>ORD109</t>
  </si>
  <si>
    <t>ORD110</t>
  </si>
  <si>
    <t>ORD111</t>
  </si>
  <si>
    <t>15-06-2026</t>
  </si>
  <si>
    <t>ORD112</t>
  </si>
  <si>
    <t>ORD113</t>
  </si>
  <si>
    <t>22-05-2026</t>
  </si>
  <si>
    <t>ORD114</t>
  </si>
  <si>
    <t>29-06-2026</t>
  </si>
  <si>
    <t>ORD115</t>
  </si>
  <si>
    <t>ORD116</t>
  </si>
  <si>
    <t>05-07-2026</t>
  </si>
  <si>
    <t>ORD117</t>
  </si>
  <si>
    <t>03-04-2026</t>
  </si>
  <si>
    <t>ORD118</t>
  </si>
  <si>
    <t>ORD119</t>
  </si>
  <si>
    <t>ORD120</t>
  </si>
  <si>
    <t>14-01-2026</t>
  </si>
  <si>
    <t>ORD121</t>
  </si>
  <si>
    <t>ORD122</t>
  </si>
  <si>
    <t>ORD123</t>
  </si>
  <si>
    <t>18-07-2026</t>
  </si>
  <si>
    <t>ORD124</t>
  </si>
  <si>
    <t>20-03-2026</t>
  </si>
  <si>
    <t>ORD125</t>
  </si>
  <si>
    <t>ORD126</t>
  </si>
  <si>
    <t>ORD127</t>
  </si>
  <si>
    <t>16-03-2026</t>
  </si>
  <si>
    <t>ORD128</t>
  </si>
  <si>
    <t>ORD129</t>
  </si>
  <si>
    <t>19-04-2026</t>
  </si>
  <si>
    <t>ORD130</t>
  </si>
  <si>
    <t>ORD131</t>
  </si>
  <si>
    <t>ORD132</t>
  </si>
  <si>
    <t>09-05-2026</t>
  </si>
  <si>
    <t>ORD133</t>
  </si>
  <si>
    <t>ORD134</t>
  </si>
  <si>
    <t>15-07-2026</t>
  </si>
  <si>
    <t>ORD135</t>
  </si>
  <si>
    <t>01-05-2026</t>
  </si>
  <si>
    <t>ORD136</t>
  </si>
  <si>
    <t>12-06-2026</t>
  </si>
  <si>
    <t>ORD137</t>
  </si>
  <si>
    <t>ORD138</t>
  </si>
  <si>
    <t>ORD139</t>
  </si>
  <si>
    <t>30-01-2026</t>
  </si>
  <si>
    <t>ORD140</t>
  </si>
  <si>
    <t>ORD141</t>
  </si>
  <si>
    <t>ORD142</t>
  </si>
  <si>
    <t>ORD143</t>
  </si>
  <si>
    <t>ORD144</t>
  </si>
  <si>
    <t>ORD145</t>
  </si>
  <si>
    <t>27-08-2026</t>
  </si>
  <si>
    <t>ORD146</t>
  </si>
  <si>
    <t>ORD147</t>
  </si>
  <si>
    <t>10-08-2026</t>
  </si>
  <si>
    <t>ORD148</t>
  </si>
  <si>
    <t>30-07-2026</t>
  </si>
  <si>
    <t>ORD149</t>
  </si>
  <si>
    <t>ORD150</t>
  </si>
  <si>
    <t>ORD151</t>
  </si>
  <si>
    <t>08-08-2026</t>
  </si>
  <si>
    <t>ORD152</t>
  </si>
  <si>
    <t>ORD153</t>
  </si>
  <si>
    <t>ORD154</t>
  </si>
  <si>
    <t>04-07-2026</t>
  </si>
  <si>
    <t>ORD155</t>
  </si>
  <si>
    <t>28-03-2026</t>
  </si>
  <si>
    <t>ORD156</t>
  </si>
  <si>
    <t>23-03-2026</t>
  </si>
  <si>
    <t>ORD157</t>
  </si>
  <si>
    <t>11-06-2026</t>
  </si>
  <si>
    <t>ORD158</t>
  </si>
  <si>
    <t>ORD159</t>
  </si>
  <si>
    <t>ORD160</t>
  </si>
  <si>
    <t>ORD161</t>
  </si>
  <si>
    <t>14-02-2026</t>
  </si>
  <si>
    <t>ORD162</t>
  </si>
  <si>
    <t>01-03-2026</t>
  </si>
  <si>
    <t>ORD163</t>
  </si>
  <si>
    <t>19-08-2026</t>
  </si>
  <si>
    <t>ORD164</t>
  </si>
  <si>
    <t>13-06-2026</t>
  </si>
  <si>
    <t>ORD165</t>
  </si>
  <si>
    <t>07-08-2026</t>
  </si>
  <si>
    <t>ORD166</t>
  </si>
  <si>
    <t>ORD167</t>
  </si>
  <si>
    <t>22-08-2026</t>
  </si>
  <si>
    <t>ORD168</t>
  </si>
  <si>
    <t>ORD169</t>
  </si>
  <si>
    <t>ORD170</t>
  </si>
  <si>
    <t>07-07-2026</t>
  </si>
  <si>
    <t>ORD171</t>
  </si>
  <si>
    <t>21-02-2026</t>
  </si>
  <si>
    <t>ORD172</t>
  </si>
  <si>
    <t>07-03-2026</t>
  </si>
  <si>
    <t>ORD173</t>
  </si>
  <si>
    <t>ORD174</t>
  </si>
  <si>
    <t>05-08-2026</t>
  </si>
  <si>
    <t>ORD175</t>
  </si>
  <si>
    <t>18-05-2026</t>
  </si>
  <si>
    <t>ORD176</t>
  </si>
  <si>
    <t>30-05-2026</t>
  </si>
  <si>
    <t>ORD177</t>
  </si>
  <si>
    <t>08-06-2026</t>
  </si>
  <si>
    <t>ORD178</t>
  </si>
  <si>
    <t>21-08-2026</t>
  </si>
  <si>
    <t>ORD179</t>
  </si>
  <si>
    <t>31-08-2026</t>
  </si>
  <si>
    <t>ORD180</t>
  </si>
  <si>
    <t>ORD181</t>
  </si>
  <si>
    <t>31-05-2026</t>
  </si>
  <si>
    <t>ORD182</t>
  </si>
  <si>
    <t>ORD183</t>
  </si>
  <si>
    <t>ORD184</t>
  </si>
  <si>
    <t>ORD185</t>
  </si>
  <si>
    <t>ORD186</t>
  </si>
  <si>
    <t>13-01-2026</t>
  </si>
  <si>
    <t>ORD187</t>
  </si>
  <si>
    <t>01-08-2026</t>
  </si>
  <si>
    <t>ORD188</t>
  </si>
  <si>
    <t>ORD189</t>
  </si>
  <si>
    <t>19-05-2026</t>
  </si>
  <si>
    <t>ORD190</t>
  </si>
  <si>
    <t>ORD191</t>
  </si>
  <si>
    <t>ORD192</t>
  </si>
  <si>
    <t>25-04-2026</t>
  </si>
  <si>
    <t>ORD193</t>
  </si>
  <si>
    <t>06-07-2026</t>
  </si>
  <si>
    <t>ORD194</t>
  </si>
  <si>
    <t>03-05-2026</t>
  </si>
  <si>
    <t>ORD195</t>
  </si>
  <si>
    <t>ORD196</t>
  </si>
  <si>
    <t>ORD197</t>
  </si>
  <si>
    <t>ORD198</t>
  </si>
  <si>
    <t>21-04-2026</t>
  </si>
  <si>
    <t>ORD199</t>
  </si>
  <si>
    <t>ORD200</t>
  </si>
  <si>
    <t>Row Labels</t>
  </si>
  <si>
    <t>Grand Total</t>
  </si>
  <si>
    <t>Sum of Total Sales</t>
  </si>
  <si>
    <t>SALES   PERFORMANCE   DASHBOARD</t>
  </si>
  <si>
    <t>TOTAL SALES</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</si>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</sst>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7" formatCode="&quot;₹&quot;\ #,##0.00;&quot;₹&quot;\ \-#,##0.00"/>
  </numFmts>
  <fonts count="6" x14ac:knownFonts="1">
    <font>
      <sz val="11"/>
      <color theme="1"/>
      <name val="Calibri"/>
      <family val="2"/>
      <scheme val="minor"/>
    </font>
    <font>
      <b/>
      <sz val="11"/>
      <name val="Calibri"/>
    </font>
    <font>
      <b/>
      <sz val="11"/>
      <color theme="1"/>
      <name val="Calibri"/>
      <family val="2"/>
      <scheme val="minor"/>
    </font>
    <font>
      <b/>
      <sz val="20"/>
      <color theme="1"/>
      <name val="Calibri"/>
      <family val="2"/>
      <scheme val="minor"/>
    </font>
    <font>
      <b/>
      <sz val="18"/>
      <color theme="1"/>
      <name val="Calibri"/>
      <family val="2"/>
      <scheme val="minor"/>
    </font>
    <font>
      <b/>
      <sz val="24"/>
      <color rgb="FF002060"/>
      <name val="Cambria"/>
      <family val="1"/>
      <scheme val="maj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9" fontId="0" fillId="0" borderId="0" xfId="0" applyNumberFormat="1"/>
    <xf numFmtId="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5" fillId="2" borderId="0" xfId="0" applyFont="1" applyFill="1" applyAlignment="1">
      <alignment horizontal="center" vertical="center"/>
    </xf>
    <xf numFmtId="0" fontId="0" fillId="3" borderId="0" xfId="0" applyFill="1"/>
    <xf numFmtId="0" fontId="3" fillId="3" borderId="0" xfId="0" applyFont="1" applyFill="1" applyAlignment="1">
      <alignment horizontal="center"/>
    </xf>
    <xf numFmtId="0" fontId="4" fillId="3" borderId="0" xfId="0" applyFont="1" applyFill="1" applyAlignment="1">
      <alignment horizontal="center"/>
    </xf>
    <xf numFmtId="7" fontId="2" fillId="3" borderId="0" xfId="0" applyNumberFormat="1" applyFont="1" applyFill="1" applyAlignment="1">
      <alignment horizontal="center"/>
    </xf>
    <xf numFmtId="0" fontId="2" fillId="3" borderId="0" xfId="0" applyFont="1" applyFill="1" applyAlignment="1">
      <alignment horizontal="center"/>
    </xf>
    <xf numFmtId="0" fontId="0" fillId="2" borderId="0" xfId="0" applyFill="1" applyAlignment="1">
      <alignment horizontal="left" vertical="center" indent="27"/>
    </xf>
    <xf numFmtId="0" fontId="0" fillId="2" borderId="0" xfId="0" applyFill="1"/>
  </cellXfs>
  <cellStyles count="1">
    <cellStyle name="Normal" xfId="0" builtinId="0"/>
  </cellStyles>
  <dxfs count="7">
    <dxf>
      <numFmt numFmtId="4" formatCode="#,##0.00"/>
    </dxf>
    <dxf>
      <numFmt numFmtId="13" formatCode="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4" formatCode="#,##0.00"/>
    </dxf>
    <dxf>
      <numFmt numFmtId="13" formatCode="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North</c:v>
                </c:pt>
              </c:strCache>
            </c:strRef>
          </c:cat>
          <c:val>
            <c:numRef>
              <c:f>Sheet1!$B$4:$B$5</c:f>
              <c:numCache>
                <c:formatCode>#,##0.00</c:formatCode>
                <c:ptCount val="1"/>
                <c:pt idx="0">
                  <c:v>5407265.0999999996</c:v>
                </c:pt>
              </c:numCache>
            </c:numRef>
          </c:val>
          <c:extLst>
            <c:ext xmlns:c16="http://schemas.microsoft.com/office/drawing/2014/chart" uri="{C3380CC4-5D6E-409C-BE32-E72D297353CC}">
              <c16:uniqueId val="{00000000-524B-4E55-A570-5D02244DDCD6}"/>
            </c:ext>
          </c:extLst>
        </c:ser>
        <c:dLbls>
          <c:showLegendKey val="0"/>
          <c:showVal val="0"/>
          <c:showCatName val="0"/>
          <c:showSerName val="0"/>
          <c:showPercent val="0"/>
          <c:showBubbleSize val="0"/>
        </c:dLbls>
        <c:gapWidth val="219"/>
        <c:overlap val="-27"/>
        <c:axId val="1887431935"/>
        <c:axId val="1826866383"/>
      </c:barChart>
      <c:catAx>
        <c:axId val="188743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866383"/>
        <c:crosses val="autoZero"/>
        <c:auto val="1"/>
        <c:lblAlgn val="ctr"/>
        <c:lblOffset val="100"/>
        <c:noMultiLvlLbl val="0"/>
      </c:catAx>
      <c:valAx>
        <c:axId val="1826866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3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a:t>
            </a:r>
            <a:r>
              <a:rPr lang="en-IN" baseline="0"/>
              <a:t>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Laptop</c:v>
                </c:pt>
              </c:strCache>
            </c:strRef>
          </c:cat>
          <c:val>
            <c:numRef>
              <c:f>Sheet2!$B$4:$B$5</c:f>
              <c:numCache>
                <c:formatCode>#,##0.00</c:formatCode>
                <c:ptCount val="1"/>
                <c:pt idx="0">
                  <c:v>3105291.5500000003</c:v>
                </c:pt>
              </c:numCache>
            </c:numRef>
          </c:val>
          <c:extLst>
            <c:ext xmlns:c16="http://schemas.microsoft.com/office/drawing/2014/chart" uri="{C3380CC4-5D6E-409C-BE32-E72D297353CC}">
              <c16:uniqueId val="{00000000-CC45-4A94-BDC5-965CF9488498}"/>
            </c:ext>
          </c:extLst>
        </c:ser>
        <c:dLbls>
          <c:showLegendKey val="0"/>
          <c:showVal val="0"/>
          <c:showCatName val="0"/>
          <c:showSerName val="0"/>
          <c:showPercent val="0"/>
          <c:showBubbleSize val="0"/>
        </c:dLbls>
        <c:gapWidth val="219"/>
        <c:overlap val="-27"/>
        <c:axId val="1889526303"/>
        <c:axId val="1826867343"/>
      </c:barChart>
      <c:catAx>
        <c:axId val="188952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867343"/>
        <c:crosses val="autoZero"/>
        <c:auto val="1"/>
        <c:lblAlgn val="ctr"/>
        <c:lblOffset val="100"/>
        <c:noMultiLvlLbl val="0"/>
      </c:catAx>
      <c:valAx>
        <c:axId val="1826867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2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Salesperson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Alice</c:v>
                </c:pt>
                <c:pt idx="1">
                  <c:v>Bob</c:v>
                </c:pt>
                <c:pt idx="2">
                  <c:v>Charlie</c:v>
                </c:pt>
                <c:pt idx="3">
                  <c:v>Diana</c:v>
                </c:pt>
                <c:pt idx="4">
                  <c:v>Ethan</c:v>
                </c:pt>
                <c:pt idx="5">
                  <c:v>Fiona</c:v>
                </c:pt>
              </c:strCache>
            </c:strRef>
          </c:cat>
          <c:val>
            <c:numRef>
              <c:f>Sheet3!$B$4:$B$10</c:f>
              <c:numCache>
                <c:formatCode>#,##0.00</c:formatCode>
                <c:ptCount val="6"/>
                <c:pt idx="0">
                  <c:v>828564.74999999988</c:v>
                </c:pt>
                <c:pt idx="1">
                  <c:v>778261.6</c:v>
                </c:pt>
                <c:pt idx="2">
                  <c:v>2136718.75</c:v>
                </c:pt>
                <c:pt idx="3">
                  <c:v>762633.4</c:v>
                </c:pt>
                <c:pt idx="4">
                  <c:v>218068.45</c:v>
                </c:pt>
                <c:pt idx="5">
                  <c:v>683018.15</c:v>
                </c:pt>
              </c:numCache>
            </c:numRef>
          </c:val>
          <c:extLst>
            <c:ext xmlns:c16="http://schemas.microsoft.com/office/drawing/2014/chart" uri="{C3380CC4-5D6E-409C-BE32-E72D297353CC}">
              <c16:uniqueId val="{00000000-F695-4F9D-A803-4F81F4ACA61C}"/>
            </c:ext>
          </c:extLst>
        </c:ser>
        <c:dLbls>
          <c:showLegendKey val="0"/>
          <c:showVal val="0"/>
          <c:showCatName val="0"/>
          <c:showSerName val="0"/>
          <c:showPercent val="0"/>
          <c:showBubbleSize val="0"/>
        </c:dLbls>
        <c:gapWidth val="219"/>
        <c:overlap val="-27"/>
        <c:axId val="1892945615"/>
        <c:axId val="1826884143"/>
      </c:barChart>
      <c:catAx>
        <c:axId val="189294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884143"/>
        <c:crosses val="autoZero"/>
        <c:auto val="1"/>
        <c:lblAlgn val="ctr"/>
        <c:lblOffset val="100"/>
        <c:noMultiLvlLbl val="0"/>
      </c:catAx>
      <c:valAx>
        <c:axId val="182688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4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[Sales_Data.xlsx]Sheet1!PivotTable1</c:name>
    <c:fmtId val="2"/>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4"/>
            </a:solidFill>
            <a:ln>
              <a:noFill/>
            </a:ln>
            <a:effectLst/>
          </c:spPr>
          <c:invertIfNegative val="0"/>
          <c:cat>
            <c:strRef>
              <c:f>Sheet1!$A$4:$A$5</c:f>
              <c:strCache>
                <c:ptCount val="1"/>
                <c:pt idx="0">
                  <c:v>North</c:v>
                </c:pt>
              </c:strCache>
            </c:strRef>
          </c:cat>
          <c:val>
            <c:numRef>
              <c:f>Sheet1!$B$4:$B$5</c:f>
              <c:numCache>
                <c:formatCode>#,##0.00</c:formatCode>
                <c:ptCount val="1"/>
                <c:pt idx="0">
                  <c:v>5407265.0999999996</c:v>
                </c:pt>
              </c:numCache>
            </c:numRef>
          </c:val>
          <c:extLst>
            <c:ext xmlns:c16="http://schemas.microsoft.com/office/drawing/2014/chart" uri="{C3380CC4-5D6E-409C-BE32-E72D297353CC}">
              <c16:uniqueId val="{00000000-7DF7-46CB-A87B-5B2C771F02A7}"/>
            </c:ext>
          </c:extLst>
        </c:ser>
        <c:dLbls>
          <c:showLegendKey val="0"/>
          <c:showVal val="0"/>
          <c:showCatName val="0"/>
          <c:showSerName val="0"/>
          <c:showPercent val="0"/>
          <c:showBubbleSize val="0"/>
        </c:dLbls>
        <c:gapWidth val="219"/>
        <c:axId val="1887431935"/>
        <c:axId val="1826866383"/>
      </c:barChart>
      <c:catAx>
        <c:axId val="188743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826866383"/>
        <c:crosses val="autoZero"/>
        <c:auto val="1"/>
        <c:lblAlgn val="ctr"/>
        <c:lblOffset val="100"/>
        <c:noMultiLvlLbl val="0"/>
      </c:catAx>
      <c:valAx>
        <c:axId val="1826866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88743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[Sales_Data.xlsx]Sheet2!PivotTable2</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Sales By Product</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3"/>
            </a:solidFill>
            <a:ln>
              <a:noFill/>
            </a:ln>
            <a:effectLst/>
          </c:spPr>
          <c:invertIfNegative val="0"/>
          <c:cat>
            <c:strRef>
              <c:f>Sheet2!$A$4:$A$5</c:f>
              <c:strCache>
                <c:ptCount val="1"/>
                <c:pt idx="0">
                  <c:v>Laptop</c:v>
                </c:pt>
              </c:strCache>
            </c:strRef>
          </c:cat>
          <c:val>
            <c:numRef>
              <c:f>Sheet2!$B$4:$B$5</c:f>
              <c:numCache>
                <c:formatCode>#,##0.00</c:formatCode>
                <c:ptCount val="1"/>
                <c:pt idx="0">
                  <c:v>3105291.5500000003</c:v>
                </c:pt>
              </c:numCache>
            </c:numRef>
          </c:val>
          <c:extLst>
            <c:ext xmlns:c16="http://schemas.microsoft.com/office/drawing/2014/chart" uri="{C3380CC4-5D6E-409C-BE32-E72D297353CC}">
              <c16:uniqueId val="{00000000-2188-4769-B974-AEC2C5625CF6}"/>
            </c:ext>
          </c:extLst>
        </c:ser>
        <c:dLbls>
          <c:showLegendKey val="0"/>
          <c:showVal val="0"/>
          <c:showCatName val="0"/>
          <c:showSerName val="0"/>
          <c:showPercent val="0"/>
          <c:showBubbleSize val="0"/>
        </c:dLbls>
        <c:gapWidth val="219"/>
        <c:overlap val="-27"/>
        <c:axId val="1889526303"/>
        <c:axId val="1826867343"/>
      </c:barChart>
      <c:catAx>
        <c:axId val="188952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26867343"/>
        <c:crosses val="autoZero"/>
        <c:auto val="1"/>
        <c:lblAlgn val="ctr"/>
        <c:lblOffset val="100"/>
        <c:noMultiLvlLbl val="0"/>
      </c:catAx>
      <c:valAx>
        <c:axId val="1826867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8952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[Sales_Data.xlsx]Sheet3!PivotTable3</c:name>
    <c:fmtId val="2"/>
  </c:pivotSource>
  <c:chart>
    <c:title>
      <c:tx>
        <c:rich>
          <a:bodyPr rot="0" spcFirstLastPara="1" vertOverflow="ellipsis" vert="horz" wrap="square" anchor="ctr" anchorCtr="1"/>
          <a:lstStyle/>
          <a:p>
            <a:pPr>
              <a:defRPr sz="1400" b="1" i="0" u="none" strike="noStrike" kern="1200" cap="none" spc="0" baseline="0">
                <a:ln/>
                <a:solidFill>
                  <a:schemeClr val="accent3"/>
                </a:solidFill>
                <a:effectLst/>
                <a:latin typeface="+mn-lt"/>
                <a:ea typeface="+mn-ea"/>
                <a:cs typeface="+mn-cs"/>
              </a:defRPr>
            </a:pPr>
            <a:r>
              <a:rPr lang="en-IN"/>
              <a:t>Sales By Salesperson</a:t>
            </a:r>
          </a:p>
        </c:rich>
      </c:tx>
      <c:overlay val="0"/>
      <c:spPr>
        <a:noFill/>
        <a:ln>
          <a:noFill/>
        </a:ln>
        <a:effectLst/>
      </c:spPr>
      <c:txPr>
        <a:bodyPr rot="0" spcFirstLastPara="1" vertOverflow="ellipsis" vert="horz" wrap="square" anchor="ctr" anchorCtr="1"/>
        <a:lstStyle/>
        <a:p>
          <a:pPr>
            <a:defRPr sz="1400" b="1" i="0" u="none" strike="noStrike" kern="1200" cap="none" spc="0" baseline="0">
              <a:ln/>
              <a:solidFill>
                <a:schemeClr val="accent3"/>
              </a:solidFill>
              <a:effectLst/>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a:solidFill>
                    <a:schemeClr val="accent3"/>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2"/>
            </a:solidFill>
            <a:ln>
              <a:noFill/>
            </a:ln>
            <a:effectLst/>
          </c:spPr>
          <c:invertIfNegative val="0"/>
          <c:cat>
            <c:strRef>
              <c:f>Sheet3!$A$4:$A$10</c:f>
              <c:strCache>
                <c:ptCount val="6"/>
                <c:pt idx="0">
                  <c:v>Alice</c:v>
                </c:pt>
                <c:pt idx="1">
                  <c:v>Bob</c:v>
                </c:pt>
                <c:pt idx="2">
                  <c:v>Charlie</c:v>
                </c:pt>
                <c:pt idx="3">
                  <c:v>Diana</c:v>
                </c:pt>
                <c:pt idx="4">
                  <c:v>Ethan</c:v>
                </c:pt>
                <c:pt idx="5">
                  <c:v>Fiona</c:v>
                </c:pt>
              </c:strCache>
            </c:strRef>
          </c:cat>
          <c:val>
            <c:numRef>
              <c:f>Sheet3!$B$4:$B$10</c:f>
              <c:numCache>
                <c:formatCode>#,##0.00</c:formatCode>
                <c:ptCount val="6"/>
                <c:pt idx="0">
                  <c:v>828564.74999999988</c:v>
                </c:pt>
                <c:pt idx="1">
                  <c:v>778261.6</c:v>
                </c:pt>
                <c:pt idx="2">
                  <c:v>2136718.75</c:v>
                </c:pt>
                <c:pt idx="3">
                  <c:v>762633.4</c:v>
                </c:pt>
                <c:pt idx="4">
                  <c:v>218068.45</c:v>
                </c:pt>
                <c:pt idx="5">
                  <c:v>683018.15</c:v>
                </c:pt>
              </c:numCache>
            </c:numRef>
          </c:val>
          <c:extLst>
            <c:ext xmlns:c16="http://schemas.microsoft.com/office/drawing/2014/chart" uri="{C3380CC4-5D6E-409C-BE32-E72D297353CC}">
              <c16:uniqueId val="{00000000-4C2E-4FC2-B3DD-F96692611052}"/>
            </c:ext>
          </c:extLst>
        </c:ser>
        <c:dLbls>
          <c:showLegendKey val="0"/>
          <c:showVal val="0"/>
          <c:showCatName val="0"/>
          <c:showSerName val="0"/>
          <c:showPercent val="0"/>
          <c:showBubbleSize val="0"/>
        </c:dLbls>
        <c:gapWidth val="219"/>
        <c:overlap val="-27"/>
        <c:axId val="1892945615"/>
        <c:axId val="1826884143"/>
      </c:barChart>
      <c:catAx>
        <c:axId val="189294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a:solidFill>
                  <a:schemeClr val="accent3"/>
                </a:solidFill>
                <a:effectLst/>
                <a:latin typeface="+mn-lt"/>
                <a:ea typeface="+mn-ea"/>
                <a:cs typeface="+mn-cs"/>
              </a:defRPr>
            </a:pPr>
            <a:endParaRPr lang="en-US"/>
          </a:p>
        </c:txPr>
        <c:crossAx val="1826884143"/>
        <c:crosses val="autoZero"/>
        <c:auto val="1"/>
        <c:lblAlgn val="ctr"/>
        <c:lblOffset val="100"/>
        <c:noMultiLvlLbl val="0"/>
      </c:catAx>
      <c:valAx>
        <c:axId val="182688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a:solidFill>
                  <a:schemeClr val="accent3"/>
                </a:solidFill>
                <a:effectLst/>
                <a:latin typeface="+mn-lt"/>
                <a:ea typeface="+mn-ea"/>
                <a:cs typeface="+mn-cs"/>
              </a:defRPr>
            </a:pPr>
            <a:endParaRPr lang="en-US"/>
          </a:p>
        </c:txPr>
        <c:crossAx val="189294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a:solidFill>
                <a:schemeClr val="accent3"/>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cap="none" spc="0">
          <a:ln/>
          <a:solidFill>
            <a:schemeClr val="accent3"/>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18</xdr:row>
      <xdr:rowOff>0</xdr:rowOff>
    </xdr:to>
    <xdr:graphicFrame macro="">
      <xdr:nvGraphicFramePr>
        <xdr:cNvPr id="3" name="Chart 2">
          <a:extLst>
            <a:ext uri="{FF2B5EF4-FFF2-40B4-BE49-F238E27FC236}">
              <a16:creationId xmlns:a16="http://schemas.microsoft.com/office/drawing/2014/main" id="{B64F3410-FFC6-4B87-AA2F-95D30CA8F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3</xdr:row>
      <xdr:rowOff>22860</xdr:rowOff>
    </xdr:from>
    <xdr:to>
      <xdr:col>14</xdr:col>
      <xdr:colOff>7620</xdr:colOff>
      <xdr:row>16</xdr:row>
      <xdr:rowOff>112395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B90930E4-865E-B4C8-0E5B-EBC48BC986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8284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563880</xdr:colOff>
      <xdr:row>1</xdr:row>
      <xdr:rowOff>102870</xdr:rowOff>
    </xdr:from>
    <xdr:to>
      <xdr:col>10</xdr:col>
      <xdr:colOff>259080</xdr:colOff>
      <xdr:row>16</xdr:row>
      <xdr:rowOff>102870</xdr:rowOff>
    </xdr:to>
    <xdr:graphicFrame macro="">
      <xdr:nvGraphicFramePr>
        <xdr:cNvPr id="2" name="Chart 1">
          <a:extLst>
            <a:ext uri="{FF2B5EF4-FFF2-40B4-BE49-F238E27FC236}">
              <a16:creationId xmlns:a16="http://schemas.microsoft.com/office/drawing/2014/main" id="{F4CBC241-5731-99D4-CB52-1CB455602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594360</xdr:colOff>
      <xdr:row>1</xdr:row>
      <xdr:rowOff>144780</xdr:rowOff>
    </xdr:from>
    <xdr:to>
      <xdr:col>13</xdr:col>
      <xdr:colOff>594360</xdr:colOff>
      <xdr:row>15</xdr:row>
      <xdr:rowOff>51435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0480A032-8DD8-F522-7709-4F3B7B97609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45998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365760</xdr:colOff>
      <xdr:row>1</xdr:row>
      <xdr:rowOff>3810</xdr:rowOff>
    </xdr:from>
    <xdr:to>
      <xdr:col>10</xdr:col>
      <xdr:colOff>60960</xdr:colOff>
      <xdr:row>16</xdr:row>
      <xdr:rowOff>3810</xdr:rowOff>
    </xdr:to>
    <xdr:graphicFrame macro="">
      <xdr:nvGraphicFramePr>
        <xdr:cNvPr id="2" name="Chart 1">
          <a:extLst>
            <a:ext uri="{FF2B5EF4-FFF2-40B4-BE49-F238E27FC236}">
              <a16:creationId xmlns:a16="http://schemas.microsoft.com/office/drawing/2014/main" id="{EA99E017-CF8A-1433-42DD-2797CA65C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373380</xdr:colOff>
      <xdr:row>2</xdr:row>
      <xdr:rowOff>68580</xdr:rowOff>
    </xdr:from>
    <xdr:to>
      <xdr:col>7</xdr:col>
      <xdr:colOff>533400</xdr:colOff>
      <xdr:row>16</xdr:row>
      <xdr:rowOff>15240</xdr:rowOff>
    </xdr:to>
    <xdr:graphicFrame macro="">
      <xdr:nvGraphicFramePr>
        <xdr:cNvPr id="2" name="Chart 1">
          <a:extLst>
            <a:ext uri="{FF2B5EF4-FFF2-40B4-BE49-F238E27FC236}">
              <a16:creationId xmlns:a16="http://schemas.microsoft.com/office/drawing/2014/main" id="{6695FEE1-9486-4A5B-9039-5455EB586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xdr:colOff>
      <xdr:row>2</xdr:row>
      <xdr:rowOff>83820</xdr:rowOff>
    </xdr:from>
    <xdr:to>
      <xdr:col>15</xdr:col>
      <xdr:colOff>220980</xdr:colOff>
      <xdr:row>15</xdr:row>
      <xdr:rowOff>160020</xdr:rowOff>
    </xdr:to>
    <xdr:graphicFrame macro="">
      <xdr:nvGraphicFramePr>
        <xdr:cNvPr id="3" name="Chart 2">
          <a:extLst>
            <a:ext uri="{FF2B5EF4-FFF2-40B4-BE49-F238E27FC236}">
              <a16:creationId xmlns:a16="http://schemas.microsoft.com/office/drawing/2014/main" id="{133B94E0-6326-4105-80B4-FE669691B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403860</xdr:colOff>
      <xdr:row>16</xdr:row>
      <xdr:rowOff>152400</xdr:rowOff>
    </xdr:from>
    <xdr:to>
      <xdr:col>8</xdr:col>
      <xdr:colOff>15240</xdr:colOff>
      <xdr:row>31</xdr:row>
      <xdr:rowOff>15240</xdr:rowOff>
    </xdr:to>
    <xdr:graphicFrame macro="">
      <xdr:nvGraphicFramePr>
        <xdr:cNvPr id="4" name="Chart 3">
          <a:extLst>
            <a:ext uri="{FF2B5EF4-FFF2-40B4-BE49-F238E27FC236}">
              <a16:creationId xmlns:a16="http://schemas.microsoft.com/office/drawing/2014/main" id="{4FFA8421-3073-4EFD-9D52-C68502AAE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160020</xdr:colOff>
      <xdr:row>16</xdr:row>
      <xdr:rowOff>160020</xdr:rowOff>
    </xdr:from>
    <xdr:to>
      <xdr:col>11</xdr:col>
      <xdr:colOff>297180</xdr:colOff>
      <xdr:row>31</xdr:row>
      <xdr:rowOff>60959</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D3348D78-0DBE-4441-8179-E92082DE21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915361" y="3234914"/>
              <a:ext cx="1965960" cy="2590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17</xdr:row>
      <xdr:rowOff>0</xdr:rowOff>
    </xdr:from>
    <xdr:to>
      <xdr:col>15</xdr:col>
      <xdr:colOff>220980</xdr:colOff>
      <xdr:row>31</xdr:row>
      <xdr:rowOff>76200</xdr:rowOff>
    </xdr:to>
    <mc:AlternateContent xmlns:mc="http://schemas.openxmlformats.org/markup-compatibility/2006">
      <mc:Choice xmlns:a14="http://schemas.microsoft.com/office/drawing/2010/main" Requires="a14">
        <xdr:graphicFrame macro="">
          <xdr:nvGraphicFramePr>
            <xdr:cNvPr id="7" name="Product 1">
              <a:extLst>
                <a:ext uri="{FF2B5EF4-FFF2-40B4-BE49-F238E27FC236}">
                  <a16:creationId xmlns:a16="http://schemas.microsoft.com/office/drawing/2014/main" id="{FD6CC316-A1AD-4BE0-97C7-98AEFB07863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193741" y="3254188"/>
              <a:ext cx="2049780" cy="2586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7.553148148145" createdVersion="8" refreshedVersion="8" minRefreshableVersion="3" recordCount="200" xr:uid="{DAE214FA-969A-48D2-B87F-F93BFADCE186}">
  <cacheSource type="worksheet">
    <worksheetSource name="Table1"/>
  </cacheSource>
  <cacheFields count="10">
    <cacheField name="Order ID" numFmtId="0">
      <sharedItems/>
    </cacheField>
    <cacheField name="Date" numFmtId="0">
      <sharedItems/>
    </cacheField>
    <cacheField name="Salesperson" numFmtId="0">
      <sharedItems count="6">
        <s v="Bob"/>
        <s v="Diana"/>
        <s v="Alice"/>
        <s v="Ethan"/>
        <s v="Charlie"/>
        <s v="Fiona"/>
      </sharedItems>
    </cacheField>
    <cacheField name="Region" numFmtId="0">
      <sharedItems count="4">
        <s v="North"/>
        <s v="East"/>
        <s v="West"/>
        <s v="South"/>
      </sharedItems>
    </cacheField>
    <cacheField name="Product" numFmtId="0">
      <sharedItems count="6">
        <s v="Webcam"/>
        <s v="Laptop"/>
        <s v="Keyboard"/>
        <s v="Monitor"/>
        <s v="Printer"/>
        <s v="Mouse"/>
      </sharedItems>
    </cacheField>
    <cacheField name="Category" numFmtId="0">
      <sharedItems/>
    </cacheField>
    <cacheField name="Units Sold" numFmtId="0">
      <sharedItems containsSemiMixedTypes="0" containsString="0" containsNumber="1" containsInteger="1" minValue="1" maxValue="15"/>
    </cacheField>
    <cacheField name="Unit Price" numFmtId="0">
      <sharedItems containsSemiMixedTypes="0" containsString="0" containsNumber="1" containsInteger="1" minValue="722" maxValue="49493"/>
    </cacheField>
    <cacheField name="Discount" numFmtId="9">
      <sharedItems containsSemiMixedTypes="0" containsString="0" containsNumber="1" minValue="0" maxValue="0.15"/>
    </cacheField>
    <cacheField name="Total Sales" numFmtId="4">
      <sharedItems containsSemiMixedTypes="0" containsString="0" containsNumber="1" minValue="640.04999999999995" maxValue="623010"/>
    </cacheField>
  </cacheFields>
  <extLst>
    <ext xmlns:x14="http://schemas.microsoft.com/office/spreadsheetml/2009/9/main" uri="{725AE2AE-9491-48be-B2B4-4EB974FC3084}">
      <x14:pivotCacheDefinition pivotCacheId="1524050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1"/>
    <s v="04-03-2026"/>
    <x v="0"/>
    <x v="0"/>
    <x v="0"/>
    <s v="Accessories"/>
    <n v="2"/>
    <n v="2262"/>
    <n v="0.1"/>
    <n v="4071.6"/>
  </r>
  <r>
    <s v="ORD002"/>
    <s v="01-06-2026"/>
    <x v="1"/>
    <x v="1"/>
    <x v="0"/>
    <s v="Accessories"/>
    <n v="2"/>
    <n v="2588"/>
    <n v="0"/>
    <n v="5176"/>
  </r>
  <r>
    <s v="ORD003"/>
    <s v="24-05-2026"/>
    <x v="0"/>
    <x v="2"/>
    <x v="1"/>
    <s v="Electronics"/>
    <n v="2"/>
    <n v="42467"/>
    <n v="0"/>
    <n v="84934"/>
  </r>
  <r>
    <s v="ORD004"/>
    <s v="14-07-2026"/>
    <x v="0"/>
    <x v="2"/>
    <x v="2"/>
    <s v="Accessories"/>
    <n v="8"/>
    <n v="1526"/>
    <n v="0"/>
    <n v="12208"/>
  </r>
  <r>
    <s v="ORD005"/>
    <s v="27-01-2026"/>
    <x v="2"/>
    <x v="2"/>
    <x v="3"/>
    <s v="Electronics"/>
    <n v="5"/>
    <n v="11173"/>
    <n v="0.1"/>
    <n v="50278.5"/>
  </r>
  <r>
    <s v="ORD006"/>
    <s v="26-07-2026"/>
    <x v="2"/>
    <x v="2"/>
    <x v="1"/>
    <s v="Electronics"/>
    <n v="6"/>
    <n v="48127"/>
    <n v="0.1"/>
    <n v="259885.8"/>
  </r>
  <r>
    <s v="ORD007"/>
    <s v="21-01-2026"/>
    <x v="3"/>
    <x v="3"/>
    <x v="4"/>
    <s v="Electronics"/>
    <n v="2"/>
    <n v="16419"/>
    <n v="0.15"/>
    <n v="27912.3"/>
  </r>
  <r>
    <s v="ORD008"/>
    <s v="28-05-2026"/>
    <x v="0"/>
    <x v="1"/>
    <x v="0"/>
    <s v="Accessories"/>
    <n v="10"/>
    <n v="2692"/>
    <n v="0.1"/>
    <n v="24228"/>
  </r>
  <r>
    <s v="ORD009"/>
    <s v="21-01-2026"/>
    <x v="0"/>
    <x v="1"/>
    <x v="1"/>
    <s v="Electronics"/>
    <n v="11"/>
    <n v="42551"/>
    <n v="0.1"/>
    <n v="421254.9"/>
  </r>
  <r>
    <s v="ORD010"/>
    <s v="11-02-2026"/>
    <x v="4"/>
    <x v="3"/>
    <x v="5"/>
    <s v="Accessories"/>
    <n v="5"/>
    <n v="792"/>
    <n v="0.1"/>
    <n v="3564"/>
  </r>
  <r>
    <s v="ORD011"/>
    <s v="05-06-2026"/>
    <x v="5"/>
    <x v="0"/>
    <x v="2"/>
    <s v="Accessories"/>
    <n v="11"/>
    <n v="1430"/>
    <n v="0"/>
    <n v="15730"/>
  </r>
  <r>
    <s v="ORD012"/>
    <s v="08-04-2026"/>
    <x v="4"/>
    <x v="0"/>
    <x v="4"/>
    <s v="Electronics"/>
    <n v="12"/>
    <n v="14234"/>
    <n v="0.15"/>
    <n v="145186.79999999999"/>
  </r>
  <r>
    <s v="ORD013"/>
    <s v="28-02-2026"/>
    <x v="2"/>
    <x v="3"/>
    <x v="0"/>
    <s v="Accessories"/>
    <n v="6"/>
    <n v="2671"/>
    <n v="0"/>
    <n v="16026"/>
  </r>
  <r>
    <s v="ORD014"/>
    <s v="24-02-2026"/>
    <x v="5"/>
    <x v="2"/>
    <x v="5"/>
    <s v="Accessories"/>
    <n v="5"/>
    <n v="730"/>
    <n v="0.1"/>
    <n v="3285"/>
  </r>
  <r>
    <s v="ORD015"/>
    <s v="06-02-2026"/>
    <x v="4"/>
    <x v="0"/>
    <x v="5"/>
    <s v="Accessories"/>
    <n v="15"/>
    <n v="866"/>
    <n v="0.15"/>
    <n v="11041.5"/>
  </r>
  <r>
    <s v="ORD016"/>
    <s v="11-07-2026"/>
    <x v="3"/>
    <x v="2"/>
    <x v="2"/>
    <s v="Accessories"/>
    <n v="12"/>
    <n v="1518"/>
    <n v="0.1"/>
    <n v="16394.400000000001"/>
  </r>
  <r>
    <s v="ORD017"/>
    <s v="11-05-2026"/>
    <x v="1"/>
    <x v="1"/>
    <x v="4"/>
    <s v="Electronics"/>
    <n v="7"/>
    <n v="14585"/>
    <n v="0.05"/>
    <n v="96990.25"/>
  </r>
  <r>
    <s v="ORD018"/>
    <s v="22-07-2026"/>
    <x v="5"/>
    <x v="2"/>
    <x v="1"/>
    <s v="Electronics"/>
    <n v="14"/>
    <n v="41486"/>
    <n v="0.05"/>
    <n v="551763.80000000005"/>
  </r>
  <r>
    <s v="ORD019"/>
    <s v="16-05-2026"/>
    <x v="4"/>
    <x v="1"/>
    <x v="4"/>
    <s v="Electronics"/>
    <n v="2"/>
    <n v="14654"/>
    <n v="0.15"/>
    <n v="24911.8"/>
  </r>
  <r>
    <s v="ORD020"/>
    <s v="16-07-2026"/>
    <x v="5"/>
    <x v="3"/>
    <x v="0"/>
    <s v="Accessories"/>
    <n v="12"/>
    <n v="2307"/>
    <n v="0.1"/>
    <n v="24915.599999999999"/>
  </r>
  <r>
    <s v="ORD021"/>
    <s v="01-01-2026"/>
    <x v="5"/>
    <x v="3"/>
    <x v="1"/>
    <s v="Electronics"/>
    <n v="5"/>
    <n v="44412"/>
    <n v="0.15"/>
    <n v="188751"/>
  </r>
  <r>
    <s v="ORD022"/>
    <s v="11-08-2026"/>
    <x v="5"/>
    <x v="3"/>
    <x v="4"/>
    <s v="Electronics"/>
    <n v="13"/>
    <n v="14035"/>
    <n v="0"/>
    <n v="182455"/>
  </r>
  <r>
    <s v="ORD023"/>
    <s v="06-04-2026"/>
    <x v="0"/>
    <x v="1"/>
    <x v="0"/>
    <s v="Accessories"/>
    <n v="9"/>
    <n v="2554"/>
    <n v="0.05"/>
    <n v="21836.7"/>
  </r>
  <r>
    <s v="ORD024"/>
    <s v="26-08-2026"/>
    <x v="4"/>
    <x v="3"/>
    <x v="4"/>
    <s v="Electronics"/>
    <n v="6"/>
    <n v="14965"/>
    <n v="0"/>
    <n v="89790"/>
  </r>
  <r>
    <s v="ORD025"/>
    <s v="22-01-2026"/>
    <x v="5"/>
    <x v="2"/>
    <x v="2"/>
    <s v="Accessories"/>
    <n v="1"/>
    <n v="1422"/>
    <n v="0"/>
    <n v="1422"/>
  </r>
  <r>
    <s v="ORD026"/>
    <s v="02-02-2026"/>
    <x v="5"/>
    <x v="2"/>
    <x v="1"/>
    <s v="Electronics"/>
    <n v="13"/>
    <n v="45294"/>
    <n v="0.05"/>
    <n v="559380.9"/>
  </r>
  <r>
    <s v="ORD027"/>
    <s v="24-02-2026"/>
    <x v="3"/>
    <x v="0"/>
    <x v="4"/>
    <s v="Electronics"/>
    <n v="3"/>
    <n v="14295"/>
    <n v="0.15"/>
    <n v="36452.25"/>
  </r>
  <r>
    <s v="ORD028"/>
    <s v="23-04-2026"/>
    <x v="3"/>
    <x v="2"/>
    <x v="0"/>
    <s v="Accessories"/>
    <n v="5"/>
    <n v="2449"/>
    <n v="0.1"/>
    <n v="11020.5"/>
  </r>
  <r>
    <s v="ORD029"/>
    <s v="06-01-2026"/>
    <x v="3"/>
    <x v="0"/>
    <x v="1"/>
    <s v="Electronics"/>
    <n v="4"/>
    <n v="42522"/>
    <n v="0.1"/>
    <n v="153079.20000000001"/>
  </r>
  <r>
    <s v="ORD030"/>
    <s v="28-02-2026"/>
    <x v="2"/>
    <x v="1"/>
    <x v="4"/>
    <s v="Electronics"/>
    <n v="4"/>
    <n v="13521"/>
    <n v="0"/>
    <n v="54084"/>
  </r>
  <r>
    <s v="ORD031"/>
    <s v="21-06-2026"/>
    <x v="1"/>
    <x v="0"/>
    <x v="3"/>
    <s v="Electronics"/>
    <n v="2"/>
    <n v="12033"/>
    <n v="0.1"/>
    <n v="21659.4"/>
  </r>
  <r>
    <s v="ORD032"/>
    <s v="04-03-2026"/>
    <x v="1"/>
    <x v="2"/>
    <x v="4"/>
    <s v="Electronics"/>
    <n v="3"/>
    <n v="15670"/>
    <n v="0.15"/>
    <n v="39958.5"/>
  </r>
  <r>
    <s v="ORD033"/>
    <s v="01-04-2026"/>
    <x v="1"/>
    <x v="2"/>
    <x v="2"/>
    <s v="Accessories"/>
    <n v="2"/>
    <n v="1379"/>
    <n v="0.15"/>
    <n v="2344.3000000000002"/>
  </r>
  <r>
    <s v="ORD034"/>
    <s v="16-01-2026"/>
    <x v="1"/>
    <x v="3"/>
    <x v="5"/>
    <s v="Accessories"/>
    <n v="14"/>
    <n v="836"/>
    <n v="0"/>
    <n v="11704"/>
  </r>
  <r>
    <s v="ORD035"/>
    <s v="05-02-2026"/>
    <x v="1"/>
    <x v="0"/>
    <x v="1"/>
    <s v="Electronics"/>
    <n v="4"/>
    <n v="42224"/>
    <n v="0.15"/>
    <n v="143561.60000000001"/>
  </r>
  <r>
    <s v="ORD036"/>
    <s v="24-04-2026"/>
    <x v="3"/>
    <x v="1"/>
    <x v="3"/>
    <s v="Electronics"/>
    <n v="8"/>
    <n v="11399"/>
    <n v="0"/>
    <n v="91192"/>
  </r>
  <r>
    <s v="ORD037"/>
    <s v="24-01-2026"/>
    <x v="0"/>
    <x v="0"/>
    <x v="1"/>
    <s v="Electronics"/>
    <n v="11"/>
    <n v="49493"/>
    <n v="0"/>
    <n v="544423"/>
  </r>
  <r>
    <s v="ORD038"/>
    <s v="20-08-2026"/>
    <x v="2"/>
    <x v="0"/>
    <x v="5"/>
    <s v="Accessories"/>
    <n v="8"/>
    <n v="797"/>
    <n v="0.15"/>
    <n v="5419.6"/>
  </r>
  <r>
    <s v="ORD039"/>
    <s v="26-08-2026"/>
    <x v="1"/>
    <x v="3"/>
    <x v="5"/>
    <s v="Accessories"/>
    <n v="1"/>
    <n v="877"/>
    <n v="0.1"/>
    <n v="789.3"/>
  </r>
  <r>
    <s v="ORD040"/>
    <s v="09-02-2026"/>
    <x v="0"/>
    <x v="3"/>
    <x v="5"/>
    <s v="Accessories"/>
    <n v="12"/>
    <n v="873"/>
    <n v="0.15"/>
    <n v="8904.6"/>
  </r>
  <r>
    <s v="ORD041"/>
    <s v="11-07-2026"/>
    <x v="4"/>
    <x v="1"/>
    <x v="2"/>
    <s v="Accessories"/>
    <n v="1"/>
    <n v="1523"/>
    <n v="0"/>
    <n v="1523"/>
  </r>
  <r>
    <s v="ORD042"/>
    <s v="15-01-2026"/>
    <x v="3"/>
    <x v="1"/>
    <x v="1"/>
    <s v="Electronics"/>
    <n v="10"/>
    <n v="44791"/>
    <n v="0.05"/>
    <n v="425514.5"/>
  </r>
  <r>
    <s v="ORD043"/>
    <s v="14-04-2026"/>
    <x v="2"/>
    <x v="0"/>
    <x v="2"/>
    <s v="Accessories"/>
    <n v="2"/>
    <n v="1528"/>
    <n v="0.05"/>
    <n v="2903.2"/>
  </r>
  <r>
    <s v="ORD044"/>
    <s v="18-04-2026"/>
    <x v="5"/>
    <x v="3"/>
    <x v="4"/>
    <s v="Electronics"/>
    <n v="10"/>
    <n v="13619"/>
    <n v="0"/>
    <n v="136190"/>
  </r>
  <r>
    <s v="ORD045"/>
    <s v="03-03-2026"/>
    <x v="4"/>
    <x v="2"/>
    <x v="3"/>
    <s v="Electronics"/>
    <n v="4"/>
    <n v="12407"/>
    <n v="0.1"/>
    <n v="44665.2"/>
  </r>
  <r>
    <s v="ORD046"/>
    <s v="22-03-2026"/>
    <x v="2"/>
    <x v="1"/>
    <x v="2"/>
    <s v="Accessories"/>
    <n v="11"/>
    <n v="1543"/>
    <n v="0.15"/>
    <n v="14427.05"/>
  </r>
  <r>
    <s v="ORD047"/>
    <s v="19-01-2026"/>
    <x v="3"/>
    <x v="0"/>
    <x v="5"/>
    <s v="Accessories"/>
    <n v="10"/>
    <n v="879"/>
    <n v="0"/>
    <n v="8790"/>
  </r>
  <r>
    <s v="ORD048"/>
    <s v="14-08-2026"/>
    <x v="2"/>
    <x v="0"/>
    <x v="4"/>
    <s v="Electronics"/>
    <n v="5"/>
    <n v="13897"/>
    <n v="0.1"/>
    <n v="62536.5"/>
  </r>
  <r>
    <s v="ORD049"/>
    <s v="06-06-2026"/>
    <x v="5"/>
    <x v="1"/>
    <x v="3"/>
    <s v="Electronics"/>
    <n v="5"/>
    <n v="11178"/>
    <n v="0.1"/>
    <n v="50301"/>
  </r>
  <r>
    <s v="ORD050"/>
    <s v="29-08-2026"/>
    <x v="0"/>
    <x v="3"/>
    <x v="0"/>
    <s v="Accessories"/>
    <n v="14"/>
    <n v="2527"/>
    <n v="0"/>
    <n v="35378"/>
  </r>
  <r>
    <s v="ORD051"/>
    <s v="11-03-2026"/>
    <x v="4"/>
    <x v="0"/>
    <x v="1"/>
    <s v="Electronics"/>
    <n v="15"/>
    <n v="41463"/>
    <n v="0.05"/>
    <n v="590847.75"/>
  </r>
  <r>
    <s v="ORD052"/>
    <s v="10-05-2026"/>
    <x v="1"/>
    <x v="3"/>
    <x v="0"/>
    <s v="Accessories"/>
    <n v="6"/>
    <n v="2351"/>
    <n v="0.1"/>
    <n v="12695.4"/>
  </r>
  <r>
    <s v="ORD053"/>
    <s v="12-01-2026"/>
    <x v="2"/>
    <x v="3"/>
    <x v="1"/>
    <s v="Electronics"/>
    <n v="2"/>
    <n v="46208"/>
    <n v="0.1"/>
    <n v="83174.399999999994"/>
  </r>
  <r>
    <s v="ORD054"/>
    <s v="09-07-2026"/>
    <x v="1"/>
    <x v="2"/>
    <x v="2"/>
    <s v="Accessories"/>
    <n v="11"/>
    <n v="1643"/>
    <n v="0.05"/>
    <n v="17169.349999999999"/>
  </r>
  <r>
    <s v="ORD055"/>
    <s v="20-05-2026"/>
    <x v="2"/>
    <x v="3"/>
    <x v="4"/>
    <s v="Electronics"/>
    <n v="1"/>
    <n v="13835"/>
    <n v="0.05"/>
    <n v="13143.25"/>
  </r>
  <r>
    <s v="ORD056"/>
    <s v="11-01-2026"/>
    <x v="4"/>
    <x v="3"/>
    <x v="4"/>
    <s v="Electronics"/>
    <n v="9"/>
    <n v="13944"/>
    <n v="0.05"/>
    <n v="119221.2"/>
  </r>
  <r>
    <s v="ORD057"/>
    <s v="20-06-2026"/>
    <x v="2"/>
    <x v="3"/>
    <x v="1"/>
    <s v="Electronics"/>
    <n v="15"/>
    <n v="43720"/>
    <n v="0.05"/>
    <n v="623010"/>
  </r>
  <r>
    <s v="ORD058"/>
    <s v="25-08-2026"/>
    <x v="0"/>
    <x v="0"/>
    <x v="4"/>
    <s v="Electronics"/>
    <n v="15"/>
    <n v="16124"/>
    <n v="0.05"/>
    <n v="229767"/>
  </r>
  <r>
    <s v="ORD059"/>
    <s v="08-07-2026"/>
    <x v="4"/>
    <x v="2"/>
    <x v="2"/>
    <s v="Accessories"/>
    <n v="15"/>
    <n v="1473"/>
    <n v="0.05"/>
    <n v="20990.25"/>
  </r>
  <r>
    <s v="ORD060"/>
    <s v="10-03-2026"/>
    <x v="0"/>
    <x v="1"/>
    <x v="0"/>
    <s v="Accessories"/>
    <n v="14"/>
    <n v="2617"/>
    <n v="0.05"/>
    <n v="34806.1"/>
  </r>
  <r>
    <s v="ORD061"/>
    <s v="26-02-2026"/>
    <x v="0"/>
    <x v="2"/>
    <x v="5"/>
    <s v="Accessories"/>
    <n v="14"/>
    <n v="726"/>
    <n v="0.15"/>
    <n v="8639.4"/>
  </r>
  <r>
    <s v="ORD062"/>
    <s v="27-02-2026"/>
    <x v="2"/>
    <x v="0"/>
    <x v="3"/>
    <s v="Electronics"/>
    <n v="5"/>
    <n v="12769"/>
    <n v="0.05"/>
    <n v="60652.75"/>
  </r>
  <r>
    <s v="ORD063"/>
    <s v="17-07-2026"/>
    <x v="4"/>
    <x v="3"/>
    <x v="5"/>
    <s v="Accessories"/>
    <n v="6"/>
    <n v="764"/>
    <n v="0"/>
    <n v="4584"/>
  </r>
  <r>
    <s v="ORD064"/>
    <s v="29-08-2026"/>
    <x v="2"/>
    <x v="1"/>
    <x v="0"/>
    <s v="Accessories"/>
    <n v="9"/>
    <n v="2449"/>
    <n v="0.1"/>
    <n v="19836.900000000001"/>
  </r>
  <r>
    <s v="ORD065"/>
    <s v="10-01-2026"/>
    <x v="2"/>
    <x v="2"/>
    <x v="3"/>
    <s v="Electronics"/>
    <n v="3"/>
    <n v="12193"/>
    <n v="0.1"/>
    <n v="32921.1"/>
  </r>
  <r>
    <s v="ORD066"/>
    <s v="05-06-2026"/>
    <x v="3"/>
    <x v="1"/>
    <x v="3"/>
    <s v="Electronics"/>
    <n v="12"/>
    <n v="12687"/>
    <n v="0.15"/>
    <n v="129407.4"/>
  </r>
  <r>
    <s v="ORD067"/>
    <s v="12-01-2026"/>
    <x v="5"/>
    <x v="2"/>
    <x v="5"/>
    <s v="Accessories"/>
    <n v="15"/>
    <n v="812"/>
    <n v="0.1"/>
    <n v="10962"/>
  </r>
  <r>
    <s v="ORD068"/>
    <s v="04-04-2026"/>
    <x v="1"/>
    <x v="1"/>
    <x v="1"/>
    <s v="Electronics"/>
    <n v="9"/>
    <n v="48830"/>
    <n v="0.05"/>
    <n v="417496.5"/>
  </r>
  <r>
    <s v="ORD069"/>
    <s v="19-06-2026"/>
    <x v="2"/>
    <x v="3"/>
    <x v="0"/>
    <s v="Accessories"/>
    <n v="15"/>
    <n v="2415"/>
    <n v="0.1"/>
    <n v="32602.5"/>
  </r>
  <r>
    <s v="ORD070"/>
    <s v="14-04-2026"/>
    <x v="5"/>
    <x v="3"/>
    <x v="4"/>
    <s v="Electronics"/>
    <n v="5"/>
    <n v="15500"/>
    <n v="0.1"/>
    <n v="69750"/>
  </r>
  <r>
    <s v="ORD071"/>
    <s v="23-06-2026"/>
    <x v="5"/>
    <x v="0"/>
    <x v="4"/>
    <s v="Electronics"/>
    <n v="3"/>
    <n v="14075"/>
    <n v="0.15"/>
    <n v="35891.25"/>
  </r>
  <r>
    <s v="ORD072"/>
    <s v="19-03-2026"/>
    <x v="4"/>
    <x v="0"/>
    <x v="4"/>
    <s v="Electronics"/>
    <n v="10"/>
    <n v="14402"/>
    <n v="0"/>
    <n v="144020"/>
  </r>
  <r>
    <s v="ORD073"/>
    <s v="30-04-2026"/>
    <x v="1"/>
    <x v="2"/>
    <x v="5"/>
    <s v="Accessories"/>
    <n v="13"/>
    <n v="812"/>
    <n v="0.1"/>
    <n v="9500.4"/>
  </r>
  <r>
    <s v="ORD074"/>
    <s v="18-06-2026"/>
    <x v="2"/>
    <x v="3"/>
    <x v="0"/>
    <s v="Accessories"/>
    <n v="4"/>
    <n v="2505"/>
    <n v="0.05"/>
    <n v="9519"/>
  </r>
  <r>
    <s v="ORD075"/>
    <s v="24-01-2026"/>
    <x v="0"/>
    <x v="3"/>
    <x v="4"/>
    <s v="Electronics"/>
    <n v="11"/>
    <n v="15398"/>
    <n v="0.1"/>
    <n v="152440.20000000001"/>
  </r>
  <r>
    <s v="ORD076"/>
    <s v="12-01-2026"/>
    <x v="0"/>
    <x v="2"/>
    <x v="2"/>
    <s v="Accessories"/>
    <n v="13"/>
    <n v="1409"/>
    <n v="0"/>
    <n v="18317"/>
  </r>
  <r>
    <s v="ORD077"/>
    <s v="17-04-2026"/>
    <x v="5"/>
    <x v="0"/>
    <x v="4"/>
    <s v="Electronics"/>
    <n v="14"/>
    <n v="15805"/>
    <n v="0.15"/>
    <n v="188079.5"/>
  </r>
  <r>
    <s v="ORD078"/>
    <s v="04-03-2026"/>
    <x v="0"/>
    <x v="1"/>
    <x v="0"/>
    <s v="Accessories"/>
    <n v="12"/>
    <n v="2441"/>
    <n v="0.15"/>
    <n v="24898.2"/>
  </r>
  <r>
    <s v="ORD079"/>
    <s v="25-07-2026"/>
    <x v="5"/>
    <x v="2"/>
    <x v="1"/>
    <s v="Electronics"/>
    <n v="13"/>
    <n v="44326"/>
    <n v="0.05"/>
    <n v="547426.1"/>
  </r>
  <r>
    <s v="ORD080"/>
    <s v="27-04-2026"/>
    <x v="0"/>
    <x v="2"/>
    <x v="1"/>
    <s v="Electronics"/>
    <n v="9"/>
    <n v="42742"/>
    <n v="0"/>
    <n v="384678"/>
  </r>
  <r>
    <s v="ORD081"/>
    <s v="01-09-2026"/>
    <x v="1"/>
    <x v="2"/>
    <x v="0"/>
    <s v="Accessories"/>
    <n v="9"/>
    <n v="2743"/>
    <n v="0.1"/>
    <n v="22218.3"/>
  </r>
  <r>
    <s v="ORD082"/>
    <s v="26-04-2026"/>
    <x v="4"/>
    <x v="0"/>
    <x v="4"/>
    <s v="Electronics"/>
    <n v="8"/>
    <n v="16191"/>
    <n v="0.15"/>
    <n v="110098.8"/>
  </r>
  <r>
    <s v="ORD083"/>
    <s v="10-06-2026"/>
    <x v="0"/>
    <x v="3"/>
    <x v="0"/>
    <s v="Accessories"/>
    <n v="5"/>
    <n v="2632"/>
    <n v="0.15"/>
    <n v="11186"/>
  </r>
  <r>
    <s v="ORD084"/>
    <s v="11-03-2026"/>
    <x v="4"/>
    <x v="3"/>
    <x v="5"/>
    <s v="Accessories"/>
    <n v="2"/>
    <n v="834"/>
    <n v="0.05"/>
    <n v="1584.6"/>
  </r>
  <r>
    <s v="ORD085"/>
    <s v="09-04-2026"/>
    <x v="5"/>
    <x v="0"/>
    <x v="4"/>
    <s v="Electronics"/>
    <n v="2"/>
    <n v="13915"/>
    <n v="0.05"/>
    <n v="26438.5"/>
  </r>
  <r>
    <s v="ORD086"/>
    <s v="26-03-2026"/>
    <x v="3"/>
    <x v="2"/>
    <x v="0"/>
    <s v="Accessories"/>
    <n v="4"/>
    <n v="2282"/>
    <n v="0.15"/>
    <n v="7758.8"/>
  </r>
  <r>
    <s v="ORD087"/>
    <s v="10-04-2026"/>
    <x v="3"/>
    <x v="1"/>
    <x v="5"/>
    <s v="Accessories"/>
    <n v="1"/>
    <n v="753"/>
    <n v="0.15"/>
    <n v="640.04999999999995"/>
  </r>
  <r>
    <s v="ORD088"/>
    <s v="18-03-2026"/>
    <x v="1"/>
    <x v="2"/>
    <x v="4"/>
    <s v="Electronics"/>
    <n v="7"/>
    <n v="14930"/>
    <n v="0.1"/>
    <n v="94059"/>
  </r>
  <r>
    <s v="ORD089"/>
    <s v="05-05-2026"/>
    <x v="0"/>
    <x v="3"/>
    <x v="4"/>
    <s v="Electronics"/>
    <n v="12"/>
    <n v="15703"/>
    <n v="0.05"/>
    <n v="179014.2"/>
  </r>
  <r>
    <s v="ORD090"/>
    <s v="21-06-2026"/>
    <x v="5"/>
    <x v="2"/>
    <x v="5"/>
    <s v="Accessories"/>
    <n v="8"/>
    <n v="724"/>
    <n v="0.1"/>
    <n v="5212.8"/>
  </r>
  <r>
    <s v="ORD091"/>
    <s v="09-06-2026"/>
    <x v="3"/>
    <x v="1"/>
    <x v="0"/>
    <s v="Accessories"/>
    <n v="3"/>
    <n v="2670"/>
    <n v="0.05"/>
    <n v="7609.5"/>
  </r>
  <r>
    <s v="ORD092"/>
    <s v="22-01-2026"/>
    <x v="5"/>
    <x v="2"/>
    <x v="5"/>
    <s v="Accessories"/>
    <n v="10"/>
    <n v="810"/>
    <n v="0"/>
    <n v="8100"/>
  </r>
  <r>
    <s v="ORD093"/>
    <s v="08-03-2026"/>
    <x v="1"/>
    <x v="3"/>
    <x v="2"/>
    <s v="Accessories"/>
    <n v="14"/>
    <n v="1488"/>
    <n v="0"/>
    <n v="20832"/>
  </r>
  <r>
    <s v="ORD094"/>
    <s v="13-03-2026"/>
    <x v="1"/>
    <x v="3"/>
    <x v="2"/>
    <s v="Accessories"/>
    <n v="8"/>
    <n v="1448"/>
    <n v="0.15"/>
    <n v="9846.4"/>
  </r>
  <r>
    <s v="ORD095"/>
    <s v="01-09-2026"/>
    <x v="4"/>
    <x v="0"/>
    <x v="1"/>
    <s v="Electronics"/>
    <n v="8"/>
    <n v="40674"/>
    <n v="0"/>
    <n v="325392"/>
  </r>
  <r>
    <s v="ORD096"/>
    <s v="13-07-2026"/>
    <x v="2"/>
    <x v="0"/>
    <x v="0"/>
    <s v="Accessories"/>
    <n v="2"/>
    <n v="2640"/>
    <n v="0"/>
    <n v="5280"/>
  </r>
  <r>
    <s v="ORD097"/>
    <s v="03-03-2026"/>
    <x v="0"/>
    <x v="2"/>
    <x v="2"/>
    <s v="Accessories"/>
    <n v="14"/>
    <n v="1356"/>
    <n v="0.05"/>
    <n v="18034.8"/>
  </r>
  <r>
    <s v="ORD098"/>
    <s v="30-04-2026"/>
    <x v="5"/>
    <x v="3"/>
    <x v="0"/>
    <s v="Accessories"/>
    <n v="2"/>
    <n v="2531"/>
    <n v="0.05"/>
    <n v="4808.8999999999996"/>
  </r>
  <r>
    <s v="ORD099"/>
    <s v="19-07-2026"/>
    <x v="0"/>
    <x v="3"/>
    <x v="3"/>
    <s v="Electronics"/>
    <n v="3"/>
    <n v="12254"/>
    <n v="0"/>
    <n v="36762"/>
  </r>
  <r>
    <s v="ORD100"/>
    <s v="28-05-2026"/>
    <x v="5"/>
    <x v="2"/>
    <x v="1"/>
    <s v="Electronics"/>
    <n v="10"/>
    <n v="40731"/>
    <n v="0.1"/>
    <n v="366579"/>
  </r>
  <r>
    <s v="ORD101"/>
    <s v="27-01-2026"/>
    <x v="5"/>
    <x v="3"/>
    <x v="5"/>
    <s v="Accessories"/>
    <n v="12"/>
    <n v="751"/>
    <n v="0.05"/>
    <n v="8561.4"/>
  </r>
  <r>
    <s v="ORD102"/>
    <s v="30-03-2026"/>
    <x v="3"/>
    <x v="2"/>
    <x v="0"/>
    <s v="Accessories"/>
    <n v="10"/>
    <n v="2652"/>
    <n v="0"/>
    <n v="26520"/>
  </r>
  <r>
    <s v="ORD103"/>
    <s v="04-01-2026"/>
    <x v="1"/>
    <x v="2"/>
    <x v="0"/>
    <s v="Accessories"/>
    <n v="6"/>
    <n v="2284"/>
    <n v="0.1"/>
    <n v="12333.6"/>
  </r>
  <r>
    <s v="ORD104"/>
    <s v="01-07-2026"/>
    <x v="0"/>
    <x v="2"/>
    <x v="1"/>
    <s v="Electronics"/>
    <n v="7"/>
    <n v="49147"/>
    <n v="0.15"/>
    <n v="292424.65000000002"/>
  </r>
  <r>
    <s v="ORD105"/>
    <s v="07-06-2026"/>
    <x v="3"/>
    <x v="2"/>
    <x v="2"/>
    <s v="Accessories"/>
    <n v="12"/>
    <n v="1506"/>
    <n v="0.1"/>
    <n v="16264.8"/>
  </r>
  <r>
    <s v="ORD106"/>
    <s v="24-03-2026"/>
    <x v="0"/>
    <x v="1"/>
    <x v="5"/>
    <s v="Accessories"/>
    <n v="7"/>
    <n v="852"/>
    <n v="0.1"/>
    <n v="5367.6"/>
  </r>
  <r>
    <s v="ORD107"/>
    <s v="26-05-2026"/>
    <x v="3"/>
    <x v="2"/>
    <x v="3"/>
    <s v="Electronics"/>
    <n v="15"/>
    <n v="11881"/>
    <n v="0.15"/>
    <n v="151482.75"/>
  </r>
  <r>
    <s v="ORD108"/>
    <s v="16-02-2026"/>
    <x v="1"/>
    <x v="0"/>
    <x v="3"/>
    <s v="Electronics"/>
    <n v="1"/>
    <n v="11986"/>
    <n v="0.1"/>
    <n v="10787.4"/>
  </r>
  <r>
    <s v="ORD109"/>
    <s v="14-08-2026"/>
    <x v="3"/>
    <x v="3"/>
    <x v="3"/>
    <s v="Electronics"/>
    <n v="13"/>
    <n v="11420"/>
    <n v="0.1"/>
    <n v="133614"/>
  </r>
  <r>
    <s v="ORD110"/>
    <s v="22-01-2026"/>
    <x v="0"/>
    <x v="2"/>
    <x v="4"/>
    <s v="Electronics"/>
    <n v="1"/>
    <n v="15049"/>
    <n v="0.05"/>
    <n v="14296.55"/>
  </r>
  <r>
    <s v="ORD111"/>
    <s v="15-06-2026"/>
    <x v="5"/>
    <x v="2"/>
    <x v="5"/>
    <s v="Accessories"/>
    <n v="9"/>
    <n v="841"/>
    <n v="0.15"/>
    <n v="6433.65"/>
  </r>
  <r>
    <s v="ORD112"/>
    <s v="26-02-2026"/>
    <x v="1"/>
    <x v="0"/>
    <x v="5"/>
    <s v="Accessories"/>
    <n v="13"/>
    <n v="722"/>
    <n v="0.1"/>
    <n v="8447.4"/>
  </r>
  <r>
    <s v="ORD113"/>
    <s v="22-05-2026"/>
    <x v="3"/>
    <x v="3"/>
    <x v="3"/>
    <s v="Electronics"/>
    <n v="11"/>
    <n v="12195"/>
    <n v="0.15"/>
    <n v="114023.25"/>
  </r>
  <r>
    <s v="ORD114"/>
    <s v="29-06-2026"/>
    <x v="1"/>
    <x v="3"/>
    <x v="5"/>
    <s v="Accessories"/>
    <n v="12"/>
    <n v="808"/>
    <n v="0.1"/>
    <n v="8726.4"/>
  </r>
  <r>
    <s v="ORD115"/>
    <s v="22-03-2026"/>
    <x v="2"/>
    <x v="0"/>
    <x v="3"/>
    <s v="Electronics"/>
    <n v="5"/>
    <n v="11353"/>
    <n v="0.05"/>
    <n v="53926.75"/>
  </r>
  <r>
    <s v="ORD116"/>
    <s v="05-07-2026"/>
    <x v="3"/>
    <x v="3"/>
    <x v="2"/>
    <s v="Accessories"/>
    <n v="4"/>
    <n v="1571"/>
    <n v="0.1"/>
    <n v="5655.6"/>
  </r>
  <r>
    <s v="ORD117"/>
    <s v="03-04-2026"/>
    <x v="0"/>
    <x v="3"/>
    <x v="1"/>
    <s v="Electronics"/>
    <n v="14"/>
    <n v="42247"/>
    <n v="0.05"/>
    <n v="561885.1"/>
  </r>
  <r>
    <s v="ORD118"/>
    <s v="12-01-2026"/>
    <x v="2"/>
    <x v="3"/>
    <x v="1"/>
    <s v="Electronics"/>
    <n v="12"/>
    <n v="45307"/>
    <n v="0.1"/>
    <n v="489315.6"/>
  </r>
  <r>
    <s v="ORD119"/>
    <s v="27-01-2026"/>
    <x v="2"/>
    <x v="3"/>
    <x v="0"/>
    <s v="Accessories"/>
    <n v="3"/>
    <n v="2568"/>
    <n v="0.15"/>
    <n v="6548.4"/>
  </r>
  <r>
    <s v="ORD120"/>
    <s v="14-01-2026"/>
    <x v="4"/>
    <x v="2"/>
    <x v="5"/>
    <s v="Accessories"/>
    <n v="8"/>
    <n v="790"/>
    <n v="0.05"/>
    <n v="6004"/>
  </r>
  <r>
    <s v="ORD121"/>
    <s v="19-01-2026"/>
    <x v="3"/>
    <x v="1"/>
    <x v="1"/>
    <s v="Electronics"/>
    <n v="14"/>
    <n v="41088"/>
    <n v="0.15"/>
    <n v="488947.20000000001"/>
  </r>
  <r>
    <s v="ORD122"/>
    <s v="22-01-2026"/>
    <x v="0"/>
    <x v="1"/>
    <x v="2"/>
    <s v="Accessories"/>
    <n v="3"/>
    <n v="1593"/>
    <n v="0.1"/>
    <n v="4301.1000000000004"/>
  </r>
  <r>
    <s v="ORD123"/>
    <s v="18-07-2026"/>
    <x v="3"/>
    <x v="2"/>
    <x v="4"/>
    <s v="Electronics"/>
    <n v="13"/>
    <n v="14748"/>
    <n v="0.05"/>
    <n v="182137.8"/>
  </r>
  <r>
    <s v="ORD124"/>
    <s v="20-03-2026"/>
    <x v="3"/>
    <x v="1"/>
    <x v="5"/>
    <s v="Accessories"/>
    <n v="15"/>
    <n v="790"/>
    <n v="0.15"/>
    <n v="10072.5"/>
  </r>
  <r>
    <s v="ORD125"/>
    <s v="10-06-2026"/>
    <x v="0"/>
    <x v="3"/>
    <x v="4"/>
    <s v="Electronics"/>
    <n v="12"/>
    <n v="13797"/>
    <n v="0.05"/>
    <n v="157285.79999999999"/>
  </r>
  <r>
    <s v="ORD126"/>
    <s v="22-05-2026"/>
    <x v="2"/>
    <x v="0"/>
    <x v="0"/>
    <s v="Accessories"/>
    <n v="2"/>
    <n v="2328"/>
    <n v="0.05"/>
    <n v="4423.2"/>
  </r>
  <r>
    <s v="ORD127"/>
    <s v="16-03-2026"/>
    <x v="2"/>
    <x v="0"/>
    <x v="1"/>
    <s v="Electronics"/>
    <n v="7"/>
    <n v="44554"/>
    <n v="0.15"/>
    <n v="265096.3"/>
  </r>
  <r>
    <s v="ORD128"/>
    <s v="19-01-2026"/>
    <x v="5"/>
    <x v="0"/>
    <x v="3"/>
    <s v="Electronics"/>
    <n v="12"/>
    <n v="11478"/>
    <n v="0.15"/>
    <n v="117075.6"/>
  </r>
  <r>
    <s v="ORD129"/>
    <s v="19-04-2026"/>
    <x v="2"/>
    <x v="0"/>
    <x v="3"/>
    <s v="Electronics"/>
    <n v="13"/>
    <n v="12698"/>
    <n v="0.05"/>
    <n v="156820.29999999999"/>
  </r>
  <r>
    <s v="ORD130"/>
    <s v="19-01-2026"/>
    <x v="2"/>
    <x v="0"/>
    <x v="0"/>
    <s v="Accessories"/>
    <n v="3"/>
    <n v="2704"/>
    <n v="0.05"/>
    <n v="7706.4"/>
  </r>
  <r>
    <s v="ORD131"/>
    <s v="23-04-2026"/>
    <x v="2"/>
    <x v="2"/>
    <x v="3"/>
    <s v="Electronics"/>
    <n v="10"/>
    <n v="12597"/>
    <n v="0.1"/>
    <n v="113373"/>
  </r>
  <r>
    <s v="ORD132"/>
    <s v="09-05-2026"/>
    <x v="3"/>
    <x v="2"/>
    <x v="0"/>
    <s v="Accessories"/>
    <n v="5"/>
    <n v="2599"/>
    <n v="0.1"/>
    <n v="11695.5"/>
  </r>
  <r>
    <s v="ORD133"/>
    <s v="08-07-2026"/>
    <x v="4"/>
    <x v="3"/>
    <x v="5"/>
    <s v="Accessories"/>
    <n v="2"/>
    <n v="815"/>
    <n v="0.15"/>
    <n v="1385.5"/>
  </r>
  <r>
    <s v="ORD134"/>
    <s v="15-07-2026"/>
    <x v="5"/>
    <x v="3"/>
    <x v="1"/>
    <s v="Electronics"/>
    <n v="2"/>
    <n v="42560"/>
    <n v="0"/>
    <n v="85120"/>
  </r>
  <r>
    <s v="ORD135"/>
    <s v="01-05-2026"/>
    <x v="3"/>
    <x v="2"/>
    <x v="4"/>
    <s v="Electronics"/>
    <n v="1"/>
    <n v="15789"/>
    <n v="0.05"/>
    <n v="14999.55"/>
  </r>
  <r>
    <s v="ORD136"/>
    <s v="12-06-2026"/>
    <x v="1"/>
    <x v="1"/>
    <x v="3"/>
    <s v="Electronics"/>
    <n v="3"/>
    <n v="13192"/>
    <n v="0.15"/>
    <n v="33639.599999999999"/>
  </r>
  <r>
    <s v="ORD137"/>
    <s v="21-06-2026"/>
    <x v="2"/>
    <x v="0"/>
    <x v="5"/>
    <s v="Accessories"/>
    <n v="6"/>
    <n v="785"/>
    <n v="0.1"/>
    <n v="4239"/>
  </r>
  <r>
    <s v="ORD138"/>
    <s v="19-06-2026"/>
    <x v="1"/>
    <x v="1"/>
    <x v="3"/>
    <s v="Electronics"/>
    <n v="7"/>
    <n v="12464"/>
    <n v="0.1"/>
    <n v="78523.199999999997"/>
  </r>
  <r>
    <s v="ORD139"/>
    <s v="30-01-2026"/>
    <x v="1"/>
    <x v="1"/>
    <x v="5"/>
    <s v="Accessories"/>
    <n v="2"/>
    <n v="770"/>
    <n v="0.1"/>
    <n v="1386"/>
  </r>
  <r>
    <s v="ORD140"/>
    <s v="14-01-2026"/>
    <x v="0"/>
    <x v="3"/>
    <x v="0"/>
    <s v="Accessories"/>
    <n v="14"/>
    <n v="2521"/>
    <n v="0.15"/>
    <n v="29999.9"/>
  </r>
  <r>
    <s v="ORD141"/>
    <s v="14-07-2026"/>
    <x v="2"/>
    <x v="0"/>
    <x v="4"/>
    <s v="Electronics"/>
    <n v="13"/>
    <n v="14995"/>
    <n v="0.15"/>
    <n v="165694.75"/>
  </r>
  <r>
    <s v="ORD142"/>
    <s v="23-04-2026"/>
    <x v="5"/>
    <x v="2"/>
    <x v="3"/>
    <s v="Electronics"/>
    <n v="9"/>
    <n v="11114"/>
    <n v="0.1"/>
    <n v="90023.4"/>
  </r>
  <r>
    <s v="ORD143"/>
    <s v="01-07-2026"/>
    <x v="0"/>
    <x v="3"/>
    <x v="1"/>
    <s v="Electronics"/>
    <n v="1"/>
    <n v="49258"/>
    <n v="0.05"/>
    <n v="46795.1"/>
  </r>
  <r>
    <s v="ORD144"/>
    <s v="27-02-2026"/>
    <x v="2"/>
    <x v="2"/>
    <x v="4"/>
    <s v="Electronics"/>
    <n v="1"/>
    <n v="15156"/>
    <n v="0"/>
    <n v="15156"/>
  </r>
  <r>
    <s v="ORD145"/>
    <s v="27-08-2026"/>
    <x v="5"/>
    <x v="3"/>
    <x v="1"/>
    <s v="Electronics"/>
    <n v="11"/>
    <n v="47989"/>
    <n v="0.15"/>
    <n v="448697.15"/>
  </r>
  <r>
    <s v="ORD146"/>
    <s v="01-05-2026"/>
    <x v="0"/>
    <x v="2"/>
    <x v="4"/>
    <s v="Electronics"/>
    <n v="12"/>
    <n v="14320"/>
    <n v="0.15"/>
    <n v="146064"/>
  </r>
  <r>
    <s v="ORD147"/>
    <s v="10-08-2026"/>
    <x v="2"/>
    <x v="3"/>
    <x v="4"/>
    <s v="Electronics"/>
    <n v="3"/>
    <n v="14650"/>
    <n v="0.05"/>
    <n v="41752.5"/>
  </r>
  <r>
    <s v="ORD148"/>
    <s v="30-07-2026"/>
    <x v="2"/>
    <x v="3"/>
    <x v="5"/>
    <s v="Accessories"/>
    <n v="6"/>
    <n v="869"/>
    <n v="0.1"/>
    <n v="4692.6000000000004"/>
  </r>
  <r>
    <s v="ORD149"/>
    <s v="10-08-2026"/>
    <x v="0"/>
    <x v="2"/>
    <x v="0"/>
    <s v="Accessories"/>
    <n v="5"/>
    <n v="2668"/>
    <n v="0.15"/>
    <n v="11339"/>
  </r>
  <r>
    <s v="ORD150"/>
    <s v="27-04-2026"/>
    <x v="4"/>
    <x v="0"/>
    <x v="4"/>
    <s v="Electronics"/>
    <n v="8"/>
    <n v="14535"/>
    <n v="0.15"/>
    <n v="98838"/>
  </r>
  <r>
    <s v="ORD151"/>
    <s v="08-08-2026"/>
    <x v="1"/>
    <x v="1"/>
    <x v="0"/>
    <s v="Accessories"/>
    <n v="4"/>
    <n v="2535"/>
    <n v="0.05"/>
    <n v="9633"/>
  </r>
  <r>
    <s v="ORD152"/>
    <s v="09-04-2026"/>
    <x v="5"/>
    <x v="0"/>
    <x v="3"/>
    <s v="Electronics"/>
    <n v="12"/>
    <n v="11935"/>
    <n v="0.15"/>
    <n v="121737"/>
  </r>
  <r>
    <s v="ORD153"/>
    <s v="11-08-2026"/>
    <x v="2"/>
    <x v="2"/>
    <x v="5"/>
    <s v="Accessories"/>
    <n v="1"/>
    <n v="740"/>
    <n v="0.1"/>
    <n v="666"/>
  </r>
  <r>
    <s v="ORD154"/>
    <s v="04-07-2026"/>
    <x v="0"/>
    <x v="2"/>
    <x v="1"/>
    <s v="Electronics"/>
    <n v="9"/>
    <n v="48693"/>
    <n v="0"/>
    <n v="438237"/>
  </r>
  <r>
    <s v="ORD155"/>
    <s v="28-03-2026"/>
    <x v="3"/>
    <x v="2"/>
    <x v="0"/>
    <s v="Accessories"/>
    <n v="3"/>
    <n v="2287"/>
    <n v="0.1"/>
    <n v="6174.9"/>
  </r>
  <r>
    <s v="ORD156"/>
    <s v="23-03-2026"/>
    <x v="5"/>
    <x v="2"/>
    <x v="0"/>
    <s v="Accessories"/>
    <n v="2"/>
    <n v="2675"/>
    <n v="0.15"/>
    <n v="4547.5"/>
  </r>
  <r>
    <s v="ORD157"/>
    <s v="11-06-2026"/>
    <x v="5"/>
    <x v="3"/>
    <x v="4"/>
    <s v="Electronics"/>
    <n v="1"/>
    <n v="15352"/>
    <n v="0.05"/>
    <n v="14584.4"/>
  </r>
  <r>
    <s v="ORD158"/>
    <s v="14-07-2026"/>
    <x v="5"/>
    <x v="1"/>
    <x v="2"/>
    <s v="Accessories"/>
    <n v="12"/>
    <n v="1377"/>
    <n v="0"/>
    <n v="16524"/>
  </r>
  <r>
    <s v="ORD159"/>
    <s v="12-01-2026"/>
    <x v="4"/>
    <x v="1"/>
    <x v="5"/>
    <s v="Accessories"/>
    <n v="3"/>
    <n v="831"/>
    <n v="0"/>
    <n v="2493"/>
  </r>
  <r>
    <s v="ORD160"/>
    <s v="04-03-2026"/>
    <x v="3"/>
    <x v="2"/>
    <x v="3"/>
    <s v="Electronics"/>
    <n v="6"/>
    <n v="11699"/>
    <n v="0.05"/>
    <n v="66684.3"/>
  </r>
  <r>
    <s v="ORD161"/>
    <s v="14-02-2026"/>
    <x v="2"/>
    <x v="2"/>
    <x v="4"/>
    <s v="Electronics"/>
    <n v="11"/>
    <n v="15877"/>
    <n v="0.05"/>
    <n v="165914.65"/>
  </r>
  <r>
    <s v="ORD162"/>
    <s v="01-03-2026"/>
    <x v="1"/>
    <x v="3"/>
    <x v="4"/>
    <s v="Electronics"/>
    <n v="11"/>
    <n v="14222"/>
    <n v="0.05"/>
    <n v="148619.9"/>
  </r>
  <r>
    <s v="ORD163"/>
    <s v="19-08-2026"/>
    <x v="4"/>
    <x v="0"/>
    <x v="5"/>
    <s v="Accessories"/>
    <n v="5"/>
    <n v="826"/>
    <n v="0.15"/>
    <n v="3510.5"/>
  </r>
  <r>
    <s v="ORD164"/>
    <s v="13-06-2026"/>
    <x v="1"/>
    <x v="3"/>
    <x v="1"/>
    <s v="Electronics"/>
    <n v="8"/>
    <n v="49007"/>
    <n v="0.1"/>
    <n v="352850.4"/>
  </r>
  <r>
    <s v="ORD165"/>
    <s v="07-08-2026"/>
    <x v="1"/>
    <x v="1"/>
    <x v="5"/>
    <s v="Accessories"/>
    <n v="14"/>
    <n v="768"/>
    <n v="0.15"/>
    <n v="9139.2000000000007"/>
  </r>
  <r>
    <s v="ORD166"/>
    <s v="29-06-2026"/>
    <x v="4"/>
    <x v="1"/>
    <x v="2"/>
    <s v="Accessories"/>
    <n v="7"/>
    <n v="1521"/>
    <n v="0.1"/>
    <n v="9582.2999999999993"/>
  </r>
  <r>
    <s v="ORD167"/>
    <s v="22-08-2026"/>
    <x v="3"/>
    <x v="2"/>
    <x v="0"/>
    <s v="Accessories"/>
    <n v="7"/>
    <n v="2387"/>
    <n v="0"/>
    <n v="16709"/>
  </r>
  <r>
    <s v="ORD168"/>
    <s v="26-02-2026"/>
    <x v="5"/>
    <x v="0"/>
    <x v="3"/>
    <s v="Electronics"/>
    <n v="13"/>
    <n v="12717"/>
    <n v="0.1"/>
    <n v="148788.9"/>
  </r>
  <r>
    <s v="ORD169"/>
    <s v="10-06-2026"/>
    <x v="2"/>
    <x v="1"/>
    <x v="4"/>
    <s v="Electronics"/>
    <n v="5"/>
    <n v="15533"/>
    <n v="0.05"/>
    <n v="73781.75"/>
  </r>
  <r>
    <s v="ORD170"/>
    <s v="07-07-2026"/>
    <x v="0"/>
    <x v="1"/>
    <x v="3"/>
    <s v="Electronics"/>
    <n v="13"/>
    <n v="11857"/>
    <n v="0.1"/>
    <n v="138726.9"/>
  </r>
  <r>
    <s v="ORD171"/>
    <s v="21-02-2026"/>
    <x v="0"/>
    <x v="3"/>
    <x v="3"/>
    <s v="Electronics"/>
    <n v="6"/>
    <n v="12593"/>
    <n v="0.05"/>
    <n v="71780.100000000006"/>
  </r>
  <r>
    <s v="ORD172"/>
    <s v="07-03-2026"/>
    <x v="1"/>
    <x v="3"/>
    <x v="4"/>
    <s v="Electronics"/>
    <n v="9"/>
    <n v="16240"/>
    <n v="0.05"/>
    <n v="138852"/>
  </r>
  <r>
    <s v="ORD173"/>
    <s v="30-04-2026"/>
    <x v="2"/>
    <x v="0"/>
    <x v="0"/>
    <s v="Accessories"/>
    <n v="14"/>
    <n v="2419"/>
    <n v="0"/>
    <n v="33866"/>
  </r>
  <r>
    <s v="ORD174"/>
    <s v="05-08-2026"/>
    <x v="3"/>
    <x v="3"/>
    <x v="2"/>
    <s v="Accessories"/>
    <n v="14"/>
    <n v="1552"/>
    <n v="0.15"/>
    <n v="18468.8"/>
  </r>
  <r>
    <s v="ORD175"/>
    <s v="18-05-2026"/>
    <x v="2"/>
    <x v="2"/>
    <x v="1"/>
    <s v="Electronics"/>
    <n v="13"/>
    <n v="44051"/>
    <n v="0.1"/>
    <n v="515396.7"/>
  </r>
  <r>
    <s v="ORD176"/>
    <s v="30-05-2026"/>
    <x v="1"/>
    <x v="3"/>
    <x v="3"/>
    <s v="Electronics"/>
    <n v="11"/>
    <n v="12597"/>
    <n v="0.1"/>
    <n v="124710.3"/>
  </r>
  <r>
    <s v="ORD177"/>
    <s v="08-06-2026"/>
    <x v="3"/>
    <x v="3"/>
    <x v="1"/>
    <s v="Electronics"/>
    <n v="11"/>
    <n v="42604"/>
    <n v="0"/>
    <n v="468644"/>
  </r>
  <r>
    <s v="ORD178"/>
    <s v="21-08-2026"/>
    <x v="5"/>
    <x v="3"/>
    <x v="4"/>
    <s v="Electronics"/>
    <n v="4"/>
    <n v="15442"/>
    <n v="0.15"/>
    <n v="52502.8"/>
  </r>
  <r>
    <s v="ORD179"/>
    <s v="31-08-2026"/>
    <x v="2"/>
    <x v="3"/>
    <x v="0"/>
    <s v="Accessories"/>
    <n v="7"/>
    <n v="2308"/>
    <n v="0"/>
    <n v="16156"/>
  </r>
  <r>
    <s v="ORD180"/>
    <s v="10-04-2026"/>
    <x v="1"/>
    <x v="3"/>
    <x v="5"/>
    <s v="Accessories"/>
    <n v="2"/>
    <n v="735"/>
    <n v="0.05"/>
    <n v="1396.5"/>
  </r>
  <r>
    <s v="ORD181"/>
    <s v="31-05-2026"/>
    <x v="5"/>
    <x v="0"/>
    <x v="0"/>
    <s v="Accessories"/>
    <n v="12"/>
    <n v="2598"/>
    <n v="0.15"/>
    <n v="26499.599999999999"/>
  </r>
  <r>
    <s v="ORD182"/>
    <s v="07-06-2026"/>
    <x v="1"/>
    <x v="3"/>
    <x v="5"/>
    <s v="Accessories"/>
    <n v="11"/>
    <n v="735"/>
    <n v="0.15"/>
    <n v="6872.25"/>
  </r>
  <r>
    <s v="ORD183"/>
    <s v="24-04-2026"/>
    <x v="0"/>
    <x v="3"/>
    <x v="1"/>
    <s v="Electronics"/>
    <n v="12"/>
    <n v="43834"/>
    <n v="0.15"/>
    <n v="447106.8"/>
  </r>
  <r>
    <s v="ORD184"/>
    <s v="16-01-2026"/>
    <x v="1"/>
    <x v="3"/>
    <x v="1"/>
    <s v="Electronics"/>
    <n v="11"/>
    <n v="43806"/>
    <n v="0.1"/>
    <n v="433679.4"/>
  </r>
  <r>
    <s v="ORD185"/>
    <s v="24-01-2026"/>
    <x v="5"/>
    <x v="0"/>
    <x v="2"/>
    <s v="Accessories"/>
    <n v="2"/>
    <n v="1634"/>
    <n v="0.15"/>
    <n v="2777.8"/>
  </r>
  <r>
    <s v="ORD186"/>
    <s v="13-01-2026"/>
    <x v="4"/>
    <x v="0"/>
    <x v="0"/>
    <s v="Accessories"/>
    <n v="11"/>
    <n v="2548"/>
    <n v="0"/>
    <n v="28028"/>
  </r>
  <r>
    <s v="ORD187"/>
    <s v="01-08-2026"/>
    <x v="3"/>
    <x v="0"/>
    <x v="2"/>
    <s v="Accessories"/>
    <n v="13"/>
    <n v="1519"/>
    <n v="0"/>
    <n v="19747"/>
  </r>
  <r>
    <s v="ORD188"/>
    <s v="26-03-2026"/>
    <x v="0"/>
    <x v="1"/>
    <x v="4"/>
    <s v="Electronics"/>
    <n v="4"/>
    <n v="15939"/>
    <n v="0.05"/>
    <n v="60568.2"/>
  </r>
  <r>
    <s v="ORD189"/>
    <s v="19-05-2026"/>
    <x v="4"/>
    <x v="0"/>
    <x v="3"/>
    <s v="Electronics"/>
    <n v="14"/>
    <n v="13161"/>
    <n v="0.05"/>
    <n v="175041.3"/>
  </r>
  <r>
    <s v="ORD190"/>
    <s v="04-01-2026"/>
    <x v="4"/>
    <x v="0"/>
    <x v="1"/>
    <s v="Electronics"/>
    <n v="11"/>
    <n v="48298"/>
    <n v="0.05"/>
    <n v="504714.1"/>
  </r>
  <r>
    <s v="ORD191"/>
    <s v="14-01-2026"/>
    <x v="0"/>
    <x v="2"/>
    <x v="4"/>
    <s v="Electronics"/>
    <n v="6"/>
    <n v="13547"/>
    <n v="0.1"/>
    <n v="73153.8"/>
  </r>
  <r>
    <s v="ORD192"/>
    <s v="25-04-2026"/>
    <x v="4"/>
    <x v="1"/>
    <x v="4"/>
    <s v="Electronics"/>
    <n v="2"/>
    <n v="15736"/>
    <n v="0.15"/>
    <n v="26751.200000000001"/>
  </r>
  <r>
    <s v="ORD193"/>
    <s v="06-07-2026"/>
    <x v="5"/>
    <x v="3"/>
    <x v="5"/>
    <s v="Accessories"/>
    <n v="9"/>
    <n v="755"/>
    <n v="0"/>
    <n v="6795"/>
  </r>
  <r>
    <s v="ORD194"/>
    <s v="03-05-2026"/>
    <x v="1"/>
    <x v="2"/>
    <x v="5"/>
    <s v="Accessories"/>
    <n v="11"/>
    <n v="874"/>
    <n v="0"/>
    <n v="9614"/>
  </r>
  <r>
    <s v="ORD195"/>
    <s v="19-01-2026"/>
    <x v="2"/>
    <x v="3"/>
    <x v="0"/>
    <s v="Accessories"/>
    <n v="2"/>
    <n v="2495"/>
    <n v="0.15"/>
    <n v="4241.5"/>
  </r>
  <r>
    <s v="ORD196"/>
    <s v="09-06-2026"/>
    <x v="5"/>
    <x v="3"/>
    <x v="4"/>
    <s v="Electronics"/>
    <n v="3"/>
    <n v="13697"/>
    <n v="0.1"/>
    <n v="36981.9"/>
  </r>
  <r>
    <s v="ORD197"/>
    <s v="10-05-2026"/>
    <x v="3"/>
    <x v="2"/>
    <x v="5"/>
    <s v="Accessories"/>
    <n v="10"/>
    <n v="804"/>
    <n v="0.15"/>
    <n v="6834"/>
  </r>
  <r>
    <s v="ORD198"/>
    <s v="21-04-2026"/>
    <x v="1"/>
    <x v="0"/>
    <x v="1"/>
    <s v="Electronics"/>
    <n v="13"/>
    <n v="46816"/>
    <n v="0.05"/>
    <n v="578177.6"/>
  </r>
  <r>
    <s v="ORD199"/>
    <s v="17-04-2026"/>
    <x v="5"/>
    <x v="1"/>
    <x v="5"/>
    <s v="Accessories"/>
    <n v="6"/>
    <n v="852"/>
    <n v="0.15"/>
    <n v="4345.2"/>
  </r>
  <r>
    <s v="ORD200"/>
    <s v="06-04-2026"/>
    <x v="0"/>
    <x v="2"/>
    <x v="3"/>
    <s v="Electronics"/>
    <n v="7"/>
    <n v="11550"/>
    <n v="0.1"/>
    <n v="727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5B72AF-569F-42BC-A903-642CA853AE29}"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10">
    <pivotField showAll="0"/>
    <pivotField showAll="0"/>
    <pivotField showAll="0"/>
    <pivotField axis="axisRow" showAll="0">
      <items count="5">
        <item h="1" x="1"/>
        <item x="0"/>
        <item h="1" x="3"/>
        <item h="1" x="2"/>
        <item t="default"/>
      </items>
    </pivotField>
    <pivotField showAll="0"/>
    <pivotField showAll="0"/>
    <pivotField showAll="0"/>
    <pivotField showAll="0"/>
    <pivotField numFmtId="9" showAll="0"/>
    <pivotField dataField="1" numFmtId="4" showAll="0"/>
  </pivotFields>
  <rowFields count="1">
    <field x="3"/>
  </rowFields>
  <rowItems count="2">
    <i>
      <x v="1"/>
    </i>
    <i t="grand">
      <x/>
    </i>
  </rowItems>
  <colItems count="1">
    <i/>
  </colItems>
  <dataFields count="1">
    <dataField name="Sum of Total Sales" fld="9" baseField="0" baseItem="0" numFmtId="4"/>
  </dataFields>
  <chartFormats count="2">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A85988-02CD-4802-8A53-43E7A3EB1D7B}"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0">
    <pivotField showAll="0"/>
    <pivotField showAll="0"/>
    <pivotField showAll="0"/>
    <pivotField showAll="0">
      <items count="5">
        <item h="1" x="1"/>
        <item x="0"/>
        <item h="1" x="3"/>
        <item h="1" x="2"/>
        <item t="default"/>
      </items>
    </pivotField>
    <pivotField axis="axisRow" showAll="0">
      <items count="7">
        <item h="1" x="2"/>
        <item x="1"/>
        <item h="1" x="3"/>
        <item h="1" x="5"/>
        <item h="1" x="4"/>
        <item h="1" x="0"/>
        <item t="default"/>
      </items>
    </pivotField>
    <pivotField showAll="0"/>
    <pivotField showAll="0"/>
    <pivotField showAll="0"/>
    <pivotField numFmtId="9" showAll="0"/>
    <pivotField dataField="1" numFmtId="4" showAll="0"/>
  </pivotFields>
  <rowFields count="1">
    <field x="4"/>
  </rowFields>
  <rowItems count="2">
    <i>
      <x v="1"/>
    </i>
    <i t="grand">
      <x/>
    </i>
  </rowItems>
  <colItems count="1">
    <i/>
  </colItems>
  <dataFields count="1">
    <dataField name="Sum of Total Sales" fld="9" baseField="0" baseItem="0" numFmtId="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7FB5D0-28B7-4D36-B48B-2BA963A8FB80}"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0">
    <pivotField showAll="0"/>
    <pivotField showAll="0"/>
    <pivotField axis="axisRow" showAll="0">
      <items count="7">
        <item x="2"/>
        <item x="0"/>
        <item x="4"/>
        <item x="1"/>
        <item x="3"/>
        <item x="5"/>
        <item t="default"/>
      </items>
    </pivotField>
    <pivotField showAll="0">
      <items count="5">
        <item h="1" x="1"/>
        <item x="0"/>
        <item h="1" x="3"/>
        <item h="1" x="2"/>
        <item t="default"/>
      </items>
    </pivotField>
    <pivotField showAll="0"/>
    <pivotField showAll="0"/>
    <pivotField showAll="0"/>
    <pivotField showAll="0"/>
    <pivotField numFmtId="9" showAll="0"/>
    <pivotField dataField="1" numFmtId="4" showAll="0"/>
  </pivotFields>
  <rowFields count="1">
    <field x="2"/>
  </rowFields>
  <rowItems count="7">
    <i>
      <x/>
    </i>
    <i>
      <x v="1"/>
    </i>
    <i>
      <x v="2"/>
    </i>
    <i>
      <x v="3"/>
    </i>
    <i>
      <x v="4"/>
    </i>
    <i>
      <x v="5"/>
    </i>
    <i t="grand">
      <x/>
    </i>
  </rowItems>
  <colItems count="1">
    <i/>
  </colItems>
  <dataFields count="1">
    <dataField name="Sum of Total Sales" fld="9" baseField="0" baseItem="0" numFmtId="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404E69-59C7-47F6-B049-0CB22A84A6FF}" sourceName="Region">
  <pivotTables>
    <pivotTable tabId="2" name="PivotTable1"/>
    <pivotTable tabId="3" name="PivotTable2"/>
    <pivotTable tabId="4" name="PivotTable3"/>
  </pivotTables>
  <data>
    <tabular pivotCacheId="1524050479">
      <items count="4">
        <i x="1"/>
        <i x="0" s="1"/>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C23DCFF-E212-425F-BF04-43221428C25D}" sourceName="Product">
  <pivotTables>
    <pivotTable tabId="3" name="PivotTable2"/>
  </pivotTables>
  <data>
    <tabular pivotCacheId="1524050479">
      <items count="6">
        <i x="2"/>
        <i x="1" s="1"/>
        <i x="3"/>
        <i x="5"/>
        <i x="4"/>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B9E000-DF47-4BDB-83A6-496C54CC8193}"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D594990-E9E2-449E-AE1D-9A89DBAA928C}" cache="Slicer_Product"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7328302-F406-4BD7-B7BA-5B26EA4294C3}" cache="Slicer_Region" caption="Region" rowHeight="234950"/>
  <slicer name="Product 1" xr10:uid="{8BA87751-E0DD-437B-9C46-24E29527DC9E}"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E0C635-F477-499C-B3C2-4CC57AB1BA13}" name="Table1" displayName="Table1" ref="A1:J202" totalsRowCount="1" headerRowDxfId="2" headerRowBorderDxfId="5" tableBorderDxfId="6">
  <autoFilter ref="A1:J201" xr:uid="{F0E0C635-F477-499C-B3C2-4CC57AB1BA13}"/>
  <tableColumns count="10">
    <tableColumn id="1" xr3:uid="{9C25C1E3-2CD6-4DC0-BCC5-A753AE1A7AEC}" name="Order ID"/>
    <tableColumn id="2" xr3:uid="{611BAE25-756B-4D6C-B1FE-535D1F51A73E}" name="Date"/>
    <tableColumn id="3" xr3:uid="{2B7E4044-6C84-4A20-A045-20ABB17C6C37}" name="Salesperson"/>
    <tableColumn id="4" xr3:uid="{46485A86-04C1-4661-BCFF-7B759774C03F}" name="Region"/>
    <tableColumn id="5" xr3:uid="{EAD9685A-5660-4FA3-B9F2-35147675E8F2}" name="Product"/>
    <tableColumn id="6" xr3:uid="{01862A39-6756-4120-A581-FCFA02029B3E}" name="Category"/>
    <tableColumn id="7" xr3:uid="{E161B72B-40FD-4B9B-A912-B1E6DC5EF45E}" name="Units Sold"/>
    <tableColumn id="8" xr3:uid="{11289051-660A-4162-86EF-E67BD99AA383}" name="Unit Price"/>
    <tableColumn id="9" xr3:uid="{CC5D9B03-0A28-4BDE-8D9A-DE2F5162BA67}" name="Discount" dataDxfId="4" totalsRowDxfId="1"/>
    <tableColumn id="10" xr3:uid="{B462D325-B7AF-47F3-9049-A0FE8D4FD460}" name="Total Sales" dataDxfId="3" totalsRow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AC1F-6D7D-491B-A397-10F5130120EB}">
  <dimension ref="A3:B5"/>
  <sheetViews>
    <sheetView workbookViewId="0">
      <selection activeCell="O12" sqref="O12"/>
    </sheetView>
  </sheetViews>
  <sheetFormatPr defaultRowHeight="14.4" x14ac:dyDescent="0.3"/>
  <cols>
    <col min="1" max="1" width="12.5546875" bestFit="1" customWidth="1"/>
    <col min="2" max="2" width="16.44140625" bestFit="1" customWidth="1"/>
  </cols>
  <sheetData>
    <row r="3" spans="1:2" x14ac:dyDescent="0.3">
      <c r="A3" s="4" t="s">
        <v>361</v>
      </c>
      <c r="B3" t="s">
        <v>363</v>
      </c>
    </row>
    <row r="4" spans="1:2" x14ac:dyDescent="0.3">
      <c r="A4" s="5" t="s">
        <v>13</v>
      </c>
      <c r="B4" s="2">
        <v>5407265.0999999996</v>
      </c>
    </row>
    <row r="5" spans="1:2" x14ac:dyDescent="0.3">
      <c r="A5" s="5" t="s">
        <v>362</v>
      </c>
      <c r="B5" s="2">
        <v>5407265.0999999996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76520-7B6F-45C7-AAE5-E414D3C71EDC}">
  <dimension ref="A3:B5"/>
  <sheetViews>
    <sheetView workbookViewId="0">
      <selection activeCell="A4" sqref="A4"/>
    </sheetView>
  </sheetViews>
  <sheetFormatPr defaultRowHeight="14.4" x14ac:dyDescent="0.3"/>
  <cols>
    <col min="1" max="1" width="12.5546875" bestFit="1" customWidth="1"/>
    <col min="2" max="2" width="16.44140625" bestFit="1" customWidth="1"/>
  </cols>
  <sheetData>
    <row r="3" spans="1:2" x14ac:dyDescent="0.3">
      <c r="A3" s="4" t="s">
        <v>361</v>
      </c>
      <c r="B3" t="s">
        <v>363</v>
      </c>
    </row>
    <row r="4" spans="1:2" x14ac:dyDescent="0.3">
      <c r="A4" s="5" t="s">
        <v>23</v>
      </c>
      <c r="B4" s="2">
        <v>3105291.5500000003</v>
      </c>
    </row>
    <row r="5" spans="1:2" x14ac:dyDescent="0.3">
      <c r="A5" s="5" t="s">
        <v>362</v>
      </c>
      <c r="B5" s="2">
        <v>3105291.5500000003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57B40-0FA8-4C04-ACA7-4A68B4D2139E}">
  <dimension ref="A3:B10"/>
  <sheetViews>
    <sheetView workbookViewId="0">
      <selection activeCell="F24" sqref="F24"/>
    </sheetView>
  </sheetViews>
  <sheetFormatPr defaultRowHeight="14.4" x14ac:dyDescent="0.3"/>
  <cols>
    <col min="1" max="1" width="12.5546875" bestFit="1" customWidth="1"/>
    <col min="2" max="2" width="16.44140625" bestFit="1" customWidth="1"/>
  </cols>
  <sheetData>
    <row r="3" spans="1:2" x14ac:dyDescent="0.3">
      <c r="A3" s="4" t="s">
        <v>361</v>
      </c>
      <c r="B3" t="s">
        <v>363</v>
      </c>
    </row>
    <row r="4" spans="1:2" x14ac:dyDescent="0.3">
      <c r="A4" s="5" t="s">
        <v>30</v>
      </c>
      <c r="B4" s="2">
        <v>828564.74999999988</v>
      </c>
    </row>
    <row r="5" spans="1:2" x14ac:dyDescent="0.3">
      <c r="A5" s="5" t="s">
        <v>12</v>
      </c>
      <c r="B5" s="2">
        <v>778261.6</v>
      </c>
    </row>
    <row r="6" spans="1:2" x14ac:dyDescent="0.3">
      <c r="A6" s="5" t="s">
        <v>44</v>
      </c>
      <c r="B6" s="2">
        <v>2136718.75</v>
      </c>
    </row>
    <row r="7" spans="1:2" x14ac:dyDescent="0.3">
      <c r="A7" s="5" t="s">
        <v>18</v>
      </c>
      <c r="B7" s="2">
        <v>762633.4</v>
      </c>
    </row>
    <row r="8" spans="1:2" x14ac:dyDescent="0.3">
      <c r="A8" s="5" t="s">
        <v>36</v>
      </c>
      <c r="B8" s="2">
        <v>218068.45</v>
      </c>
    </row>
    <row r="9" spans="1:2" x14ac:dyDescent="0.3">
      <c r="A9" s="5" t="s">
        <v>48</v>
      </c>
      <c r="B9" s="2">
        <v>683018.15</v>
      </c>
    </row>
    <row r="10" spans="1:2" x14ac:dyDescent="0.3">
      <c r="A10" s="5" t="s">
        <v>362</v>
      </c>
      <c r="B10" s="2">
        <v>5407265.1000000006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372B0-59DD-45F8-801A-93C23D2AE989}">
  <dimension ref="A1:T35"/>
  <sheetViews>
    <sheetView tabSelected="1" zoomScale="85" zoomScaleNormal="85" workbookViewId="0">
      <selection activeCell="Q18" sqref="Q18"/>
    </sheetView>
  </sheetViews>
  <sheetFormatPr defaultRowHeight="14.4" x14ac:dyDescent="0.3"/>
  <cols>
    <col min="5" max="5" width="12.21875" customWidth="1"/>
    <col min="7" max="7" width="20.109375" customWidth="1"/>
    <col min="8" max="8" width="7" customWidth="1"/>
  </cols>
  <sheetData>
    <row r="1" spans="1:20" ht="30" x14ac:dyDescent="0.3">
      <c r="A1" s="6" t="s">
        <v>364</v>
      </c>
      <c r="B1" s="6"/>
      <c r="C1" s="6"/>
      <c r="D1" s="6"/>
      <c r="E1" s="6"/>
      <c r="F1" s="6"/>
      <c r="G1" s="6"/>
      <c r="H1" s="6"/>
      <c r="I1" s="6"/>
      <c r="J1" s="6"/>
      <c r="K1" s="6"/>
      <c r="L1" s="6"/>
      <c r="M1" s="6"/>
      <c r="N1" s="6"/>
      <c r="O1" s="6"/>
      <c r="P1" s="6"/>
      <c r="Q1" s="12"/>
      <c r="R1" s="13"/>
      <c r="S1" s="13"/>
      <c r="T1" s="13"/>
    </row>
    <row r="2" spans="1:20" x14ac:dyDescent="0.3">
      <c r="A2" s="7"/>
      <c r="B2" s="7"/>
      <c r="C2" s="7"/>
      <c r="D2" s="7"/>
      <c r="E2" s="7"/>
      <c r="F2" s="7"/>
      <c r="G2" s="7"/>
      <c r="H2" s="7"/>
      <c r="I2" s="7"/>
      <c r="J2" s="7"/>
      <c r="K2" s="7"/>
      <c r="L2" s="7"/>
      <c r="M2" s="7"/>
      <c r="N2" s="7"/>
      <c r="O2" s="7"/>
      <c r="P2" s="7"/>
      <c r="Q2" s="7"/>
      <c r="R2" s="7"/>
      <c r="S2" s="7"/>
      <c r="T2" s="7"/>
    </row>
    <row r="3" spans="1:20" x14ac:dyDescent="0.3">
      <c r="A3" s="7"/>
      <c r="B3" s="7"/>
      <c r="C3" s="7"/>
      <c r="D3" s="7"/>
      <c r="E3" s="7"/>
      <c r="F3" s="7"/>
      <c r="G3" s="7"/>
      <c r="H3" s="7"/>
      <c r="I3" s="7"/>
      <c r="J3" s="7"/>
      <c r="K3" s="7"/>
      <c r="L3" s="7"/>
      <c r="M3" s="7"/>
      <c r="N3" s="7"/>
      <c r="O3" s="7"/>
      <c r="P3" s="7"/>
      <c r="Q3" s="7"/>
      <c r="R3" s="7"/>
      <c r="S3" s="7"/>
      <c r="T3" s="7"/>
    </row>
    <row r="4" spans="1:20" x14ac:dyDescent="0.3">
      <c r="A4" s="7"/>
      <c r="B4" s="7"/>
      <c r="C4" s="7"/>
      <c r="D4" s="7"/>
      <c r="E4" s="7"/>
      <c r="F4" s="7"/>
      <c r="G4" s="7"/>
      <c r="H4" s="7"/>
      <c r="I4" s="7"/>
      <c r="J4" s="7"/>
      <c r="K4" s="7"/>
      <c r="L4" s="7"/>
      <c r="M4" s="7"/>
      <c r="N4" s="7"/>
      <c r="O4" s="7"/>
      <c r="P4" s="7"/>
      <c r="Q4" s="7"/>
      <c r="R4" s="7"/>
      <c r="S4" s="7"/>
      <c r="T4" s="7"/>
    </row>
    <row r="5" spans="1:20" x14ac:dyDescent="0.3">
      <c r="A5" s="7"/>
      <c r="B5" s="7"/>
      <c r="C5" s="7"/>
      <c r="D5" s="7"/>
      <c r="E5" s="7"/>
      <c r="F5" s="7"/>
      <c r="G5" s="7"/>
      <c r="H5" s="7"/>
      <c r="I5" s="7"/>
      <c r="J5" s="7"/>
      <c r="K5" s="7"/>
      <c r="L5" s="7"/>
      <c r="M5" s="7"/>
      <c r="N5" s="7"/>
      <c r="O5" s="7"/>
      <c r="P5" s="7"/>
      <c r="Q5" s="7"/>
      <c r="R5" s="7"/>
      <c r="S5" s="7"/>
      <c r="T5" s="7"/>
    </row>
    <row r="6" spans="1:20" x14ac:dyDescent="0.3">
      <c r="A6" s="7"/>
      <c r="B6" s="7"/>
      <c r="C6" s="7"/>
      <c r="D6" s="7"/>
      <c r="E6" s="7"/>
      <c r="F6" s="7"/>
      <c r="G6" s="7"/>
      <c r="H6" s="7"/>
      <c r="I6" s="7"/>
      <c r="J6" s="7"/>
      <c r="K6" s="7"/>
      <c r="L6" s="7"/>
      <c r="M6" s="7"/>
      <c r="N6" s="7"/>
      <c r="O6" s="7"/>
      <c r="P6" s="7"/>
      <c r="Q6" s="7"/>
      <c r="R6" s="7"/>
      <c r="S6" s="7"/>
      <c r="T6" s="7"/>
    </row>
    <row r="7" spans="1:20" x14ac:dyDescent="0.3">
      <c r="A7" s="7"/>
      <c r="B7" s="7"/>
      <c r="C7" s="7"/>
      <c r="D7" s="7"/>
      <c r="E7" s="7"/>
      <c r="F7" s="7"/>
      <c r="G7" s="7"/>
      <c r="H7" s="7"/>
      <c r="I7" s="7"/>
      <c r="J7" s="7"/>
      <c r="K7" s="7"/>
      <c r="L7" s="7"/>
      <c r="M7" s="7"/>
      <c r="N7" s="7"/>
      <c r="O7" s="7"/>
      <c r="P7" s="7"/>
      <c r="Q7" s="7"/>
      <c r="R7" s="7"/>
      <c r="S7" s="7"/>
      <c r="T7" s="7"/>
    </row>
    <row r="8" spans="1:20" x14ac:dyDescent="0.3">
      <c r="A8" s="7"/>
      <c r="B8" s="7"/>
      <c r="C8" s="7"/>
      <c r="D8" s="7"/>
      <c r="E8" s="7"/>
      <c r="F8" s="7"/>
      <c r="G8" s="7"/>
      <c r="H8" s="7"/>
      <c r="I8" s="7"/>
      <c r="J8" s="7"/>
      <c r="K8" s="7"/>
      <c r="L8" s="7"/>
      <c r="M8" s="7"/>
      <c r="N8" s="7"/>
      <c r="O8" s="7"/>
      <c r="P8" s="7"/>
      <c r="Q8" s="7"/>
      <c r="R8" s="7"/>
      <c r="S8" s="7"/>
      <c r="T8" s="7"/>
    </row>
    <row r="9" spans="1:20" x14ac:dyDescent="0.3">
      <c r="A9" s="7"/>
      <c r="B9" s="7"/>
      <c r="C9" s="7"/>
      <c r="D9" s="7"/>
      <c r="E9" s="7"/>
      <c r="F9" s="7"/>
      <c r="G9" s="7"/>
      <c r="H9" s="7"/>
      <c r="I9" s="7"/>
      <c r="J9" s="7"/>
      <c r="K9" s="7"/>
      <c r="L9" s="7"/>
      <c r="M9" s="7"/>
      <c r="N9" s="7"/>
      <c r="O9" s="7"/>
      <c r="P9" s="7"/>
      <c r="Q9" s="7"/>
      <c r="R9" s="7"/>
      <c r="S9" s="7"/>
      <c r="T9" s="7"/>
    </row>
    <row r="10" spans="1:20" x14ac:dyDescent="0.3">
      <c r="A10" s="7"/>
      <c r="B10" s="7"/>
      <c r="C10" s="7"/>
      <c r="D10" s="7"/>
      <c r="E10" s="7"/>
      <c r="F10" s="7"/>
      <c r="G10" s="7"/>
      <c r="H10" s="7"/>
      <c r="I10" s="7"/>
      <c r="J10" s="7"/>
      <c r="K10" s="7"/>
      <c r="L10" s="7"/>
      <c r="M10" s="7"/>
      <c r="N10" s="7"/>
      <c r="O10" s="7"/>
      <c r="P10" s="7"/>
      <c r="Q10" s="7"/>
      <c r="R10" s="7"/>
      <c r="S10" s="7"/>
      <c r="T10" s="7"/>
    </row>
    <row r="11" spans="1:20" x14ac:dyDescent="0.3">
      <c r="A11" s="7"/>
      <c r="B11" s="7"/>
      <c r="C11" s="7"/>
      <c r="D11" s="7"/>
      <c r="E11" s="7"/>
      <c r="F11" s="7"/>
      <c r="G11" s="7"/>
      <c r="H11" s="7"/>
      <c r="I11" s="7"/>
      <c r="J11" s="7"/>
      <c r="K11" s="7"/>
      <c r="L11" s="7"/>
      <c r="M11" s="7"/>
      <c r="N11" s="7"/>
      <c r="O11" s="7"/>
      <c r="P11" s="7"/>
      <c r="Q11" s="7"/>
      <c r="R11" s="7"/>
      <c r="S11" s="7"/>
      <c r="T11" s="7"/>
    </row>
    <row r="12" spans="1:20" x14ac:dyDescent="0.3">
      <c r="A12" s="7"/>
      <c r="B12" s="7"/>
      <c r="C12" s="7"/>
      <c r="D12" s="7"/>
      <c r="E12" s="7"/>
      <c r="F12" s="7"/>
      <c r="G12" s="7"/>
      <c r="H12" s="7"/>
      <c r="I12" s="7"/>
      <c r="J12" s="7"/>
      <c r="K12" s="7"/>
      <c r="L12" s="7"/>
      <c r="M12" s="7"/>
      <c r="N12" s="7"/>
      <c r="O12" s="7"/>
      <c r="P12" s="7"/>
      <c r="Q12" s="7"/>
      <c r="R12" s="7"/>
      <c r="S12" s="7"/>
      <c r="T12" s="7"/>
    </row>
    <row r="13" spans="1:20" x14ac:dyDescent="0.3">
      <c r="A13" s="7"/>
      <c r="B13" s="7"/>
      <c r="C13" s="7"/>
      <c r="D13" s="7"/>
      <c r="E13" s="7"/>
      <c r="F13" s="7"/>
      <c r="G13" s="7"/>
      <c r="H13" s="7"/>
      <c r="I13" s="7"/>
      <c r="J13" s="7"/>
      <c r="K13" s="7"/>
      <c r="L13" s="7"/>
      <c r="M13" s="7"/>
      <c r="N13" s="7"/>
      <c r="O13" s="7"/>
      <c r="P13" s="7"/>
      <c r="Q13" s="7"/>
      <c r="R13" s="7"/>
      <c r="S13" s="7"/>
      <c r="T13" s="7"/>
    </row>
    <row r="14" spans="1:20" x14ac:dyDescent="0.3">
      <c r="A14" s="7"/>
      <c r="B14" s="7"/>
      <c r="C14" s="7"/>
      <c r="D14" s="7"/>
      <c r="E14" s="7"/>
      <c r="F14" s="7"/>
      <c r="G14" s="7"/>
      <c r="H14" s="7"/>
      <c r="I14" s="7"/>
      <c r="J14" s="7"/>
      <c r="K14" s="7"/>
      <c r="L14" s="7"/>
      <c r="M14" s="7"/>
      <c r="N14" s="7"/>
      <c r="O14" s="7"/>
      <c r="P14" s="7"/>
      <c r="Q14" s="7"/>
      <c r="R14" s="7"/>
      <c r="S14" s="7"/>
      <c r="T14" s="7"/>
    </row>
    <row r="15" spans="1:20" x14ac:dyDescent="0.3">
      <c r="A15" s="7"/>
      <c r="B15" s="7"/>
      <c r="C15" s="7"/>
      <c r="D15" s="7"/>
      <c r="E15" s="7"/>
      <c r="F15" s="7"/>
      <c r="G15" s="7"/>
      <c r="H15" s="7"/>
      <c r="I15" s="7"/>
      <c r="J15" s="7"/>
      <c r="K15" s="7"/>
      <c r="L15" s="7"/>
      <c r="M15" s="7"/>
      <c r="N15" s="7"/>
      <c r="O15" s="7"/>
      <c r="P15" s="7"/>
      <c r="Q15" s="7"/>
      <c r="R15" s="7"/>
      <c r="S15" s="7"/>
      <c r="T15" s="7"/>
    </row>
    <row r="16" spans="1:20" x14ac:dyDescent="0.3">
      <c r="A16" s="7"/>
      <c r="B16" s="7"/>
      <c r="C16" s="7"/>
      <c r="D16" s="7"/>
      <c r="E16" s="7"/>
      <c r="F16" s="7"/>
      <c r="G16" s="7"/>
      <c r="H16" s="7"/>
      <c r="I16" s="7"/>
      <c r="J16" s="7"/>
      <c r="K16" s="7"/>
      <c r="L16" s="7"/>
      <c r="M16" s="7"/>
      <c r="N16" s="7"/>
      <c r="O16" s="7"/>
      <c r="P16" s="7"/>
      <c r="Q16" s="7"/>
      <c r="R16" s="7"/>
      <c r="S16" s="7"/>
      <c r="T16" s="7"/>
    </row>
    <row r="17" spans="1:20" x14ac:dyDescent="0.3">
      <c r="A17" s="7"/>
      <c r="B17" s="7"/>
      <c r="C17" s="7"/>
      <c r="D17" s="7"/>
      <c r="E17" s="7"/>
      <c r="F17" s="7"/>
      <c r="G17" s="7"/>
      <c r="H17" s="7"/>
      <c r="I17" s="7"/>
      <c r="J17" s="7"/>
      <c r="K17" s="7"/>
      <c r="L17" s="7"/>
      <c r="M17" s="7"/>
      <c r="N17" s="7"/>
      <c r="O17" s="7"/>
      <c r="P17" s="7"/>
      <c r="Q17" s="7"/>
      <c r="R17" s="7"/>
      <c r="S17" s="7"/>
      <c r="T17" s="7"/>
    </row>
    <row r="18" spans="1:20" x14ac:dyDescent="0.3">
      <c r="A18" s="7"/>
      <c r="B18" s="7"/>
      <c r="C18" s="7"/>
      <c r="D18" s="7"/>
      <c r="E18" s="7"/>
      <c r="F18" s="7"/>
      <c r="G18" s="7"/>
      <c r="H18" s="7"/>
      <c r="I18" s="7"/>
      <c r="J18" s="7"/>
      <c r="K18" s="7"/>
      <c r="L18" s="7"/>
      <c r="M18" s="7"/>
      <c r="N18" s="7"/>
      <c r="O18" s="7"/>
      <c r="P18" s="7"/>
      <c r="Q18" s="7"/>
      <c r="R18" s="7"/>
      <c r="S18" s="7"/>
      <c r="T18" s="7"/>
    </row>
    <row r="19" spans="1:20" x14ac:dyDescent="0.3">
      <c r="A19" s="7"/>
      <c r="B19" s="7"/>
      <c r="C19" s="7"/>
      <c r="D19" s="7"/>
      <c r="E19" s="7"/>
      <c r="F19" s="7"/>
      <c r="G19" s="7"/>
      <c r="H19" s="7"/>
      <c r="I19" s="7"/>
      <c r="J19" s="7"/>
      <c r="K19" s="7"/>
      <c r="L19" s="7"/>
      <c r="M19" s="7"/>
      <c r="N19" s="7"/>
      <c r="O19" s="7"/>
      <c r="P19" s="7"/>
      <c r="Q19" s="7"/>
      <c r="R19" s="7"/>
      <c r="S19" s="7"/>
      <c r="T19" s="7"/>
    </row>
    <row r="20" spans="1:20" x14ac:dyDescent="0.3">
      <c r="A20" s="7"/>
      <c r="B20" s="7"/>
      <c r="C20" s="7"/>
      <c r="D20" s="7"/>
      <c r="E20" s="7"/>
      <c r="F20" s="7"/>
      <c r="G20" s="7"/>
      <c r="H20" s="7"/>
      <c r="I20" s="7"/>
      <c r="J20" s="7"/>
      <c r="K20" s="7"/>
      <c r="L20" s="7"/>
      <c r="M20" s="7"/>
      <c r="N20" s="7"/>
      <c r="O20" s="7"/>
      <c r="P20" s="7"/>
      <c r="Q20" s="7"/>
      <c r="R20" s="7"/>
      <c r="S20" s="7"/>
      <c r="T20" s="7"/>
    </row>
    <row r="21" spans="1:20" x14ac:dyDescent="0.3">
      <c r="A21" s="7"/>
      <c r="B21" s="7"/>
      <c r="C21" s="7"/>
      <c r="D21" s="7"/>
      <c r="E21" s="7"/>
      <c r="F21" s="7"/>
      <c r="G21" s="7"/>
      <c r="H21" s="7"/>
      <c r="I21" s="7"/>
      <c r="J21" s="7"/>
      <c r="K21" s="7"/>
      <c r="L21" s="7"/>
      <c r="M21" s="7"/>
      <c r="N21" s="7"/>
      <c r="O21" s="7"/>
      <c r="P21" s="7"/>
      <c r="Q21" s="7"/>
      <c r="R21" s="7"/>
      <c r="S21" s="7"/>
      <c r="T21" s="7"/>
    </row>
    <row r="22" spans="1:20" x14ac:dyDescent="0.3">
      <c r="A22" s="7"/>
      <c r="B22" s="7"/>
      <c r="C22" s="7"/>
      <c r="D22" s="7"/>
      <c r="E22" s="7"/>
      <c r="F22" s="7"/>
      <c r="G22" s="7"/>
      <c r="H22" s="7"/>
      <c r="I22" s="7"/>
      <c r="J22" s="7"/>
      <c r="K22" s="7"/>
      <c r="L22" s="7"/>
      <c r="M22" s="7"/>
      <c r="N22" s="7"/>
      <c r="O22" s="7"/>
      <c r="P22" s="7"/>
      <c r="Q22" s="7"/>
      <c r="R22" s="7"/>
      <c r="S22" s="7"/>
      <c r="T22" s="7"/>
    </row>
    <row r="23" spans="1:20" x14ac:dyDescent="0.3">
      <c r="A23" s="7"/>
      <c r="B23" s="7"/>
      <c r="C23" s="7"/>
      <c r="D23" s="7"/>
      <c r="E23" s="7"/>
      <c r="F23" s="7"/>
      <c r="G23" s="7"/>
      <c r="H23" s="7"/>
      <c r="I23" s="7"/>
      <c r="J23" s="7"/>
      <c r="K23" s="7"/>
      <c r="L23" s="7"/>
      <c r="M23" s="7"/>
      <c r="N23" s="7"/>
      <c r="O23" s="7"/>
      <c r="P23" s="7"/>
      <c r="Q23" s="7"/>
      <c r="R23" s="7"/>
      <c r="S23" s="7"/>
      <c r="T23" s="7"/>
    </row>
    <row r="24" spans="1:20" x14ac:dyDescent="0.3">
      <c r="A24" s="7"/>
      <c r="B24" s="7"/>
      <c r="C24" s="7"/>
      <c r="D24" s="7"/>
      <c r="E24" s="7"/>
      <c r="F24" s="7"/>
      <c r="G24" s="7"/>
      <c r="H24" s="7"/>
      <c r="I24" s="7"/>
      <c r="J24" s="7"/>
      <c r="K24" s="7"/>
      <c r="L24" s="7"/>
      <c r="M24" s="7"/>
      <c r="N24" s="7"/>
      <c r="O24" s="7"/>
      <c r="P24" s="7"/>
      <c r="Q24" s="7"/>
      <c r="R24" s="7"/>
      <c r="S24" s="7"/>
      <c r="T24" s="7"/>
    </row>
    <row r="25" spans="1:20" x14ac:dyDescent="0.3">
      <c r="A25" s="7"/>
      <c r="B25" s="7"/>
      <c r="C25" s="7"/>
      <c r="D25" s="7"/>
      <c r="E25" s="7"/>
      <c r="F25" s="7"/>
      <c r="G25" s="7"/>
      <c r="H25" s="7"/>
      <c r="I25" s="7"/>
      <c r="J25" s="7"/>
      <c r="K25" s="7"/>
      <c r="L25" s="7"/>
      <c r="M25" s="7"/>
      <c r="N25" s="7"/>
      <c r="O25" s="7"/>
      <c r="P25" s="7"/>
      <c r="Q25" s="7"/>
      <c r="R25" s="7"/>
      <c r="S25" s="7"/>
      <c r="T25" s="7"/>
    </row>
    <row r="26" spans="1:20" x14ac:dyDescent="0.3">
      <c r="A26" s="7"/>
      <c r="B26" s="7"/>
      <c r="C26" s="7"/>
      <c r="D26" s="7"/>
      <c r="E26" s="7"/>
      <c r="F26" s="7"/>
      <c r="G26" s="7"/>
      <c r="H26" s="7"/>
      <c r="I26" s="7"/>
      <c r="J26" s="7"/>
      <c r="K26" s="7"/>
      <c r="L26" s="7"/>
      <c r="M26" s="7"/>
      <c r="N26" s="7"/>
      <c r="O26" s="7"/>
      <c r="P26" s="7"/>
      <c r="Q26" s="7"/>
      <c r="R26" s="7"/>
      <c r="S26" s="7"/>
      <c r="T26" s="7"/>
    </row>
    <row r="27" spans="1:20" x14ac:dyDescent="0.3">
      <c r="A27" s="7"/>
      <c r="B27" s="7"/>
      <c r="C27" s="7"/>
      <c r="D27" s="7"/>
      <c r="E27" s="7"/>
      <c r="F27" s="7"/>
      <c r="G27" s="7"/>
      <c r="H27" s="7"/>
      <c r="I27" s="7"/>
      <c r="J27" s="7"/>
      <c r="K27" s="7"/>
      <c r="L27" s="7"/>
      <c r="M27" s="7"/>
      <c r="N27" s="7"/>
      <c r="O27" s="7"/>
      <c r="P27" s="7"/>
      <c r="Q27" s="7"/>
      <c r="R27" s="7"/>
      <c r="S27" s="7"/>
      <c r="T27" s="7"/>
    </row>
    <row r="28" spans="1:20" x14ac:dyDescent="0.3">
      <c r="A28" s="7"/>
      <c r="B28" s="7"/>
      <c r="C28" s="7"/>
      <c r="D28" s="7"/>
      <c r="E28" s="7"/>
      <c r="F28" s="7"/>
      <c r="G28" s="7"/>
      <c r="H28" s="7"/>
      <c r="I28" s="7"/>
      <c r="J28" s="7"/>
      <c r="K28" s="7"/>
      <c r="L28" s="7"/>
      <c r="M28" s="7"/>
      <c r="N28" s="7"/>
      <c r="O28" s="7"/>
      <c r="P28" s="7"/>
      <c r="Q28" s="7"/>
      <c r="R28" s="7"/>
      <c r="S28" s="7"/>
      <c r="T28" s="7"/>
    </row>
    <row r="29" spans="1:20" x14ac:dyDescent="0.3">
      <c r="A29" s="7"/>
      <c r="B29" s="7"/>
      <c r="C29" s="7"/>
      <c r="D29" s="7"/>
      <c r="E29" s="7"/>
      <c r="F29" s="7"/>
      <c r="G29" s="7"/>
      <c r="H29" s="7"/>
      <c r="I29" s="7"/>
      <c r="J29" s="7"/>
      <c r="K29" s="7"/>
      <c r="L29" s="7"/>
      <c r="M29" s="7"/>
      <c r="N29" s="7"/>
      <c r="O29" s="7"/>
      <c r="P29" s="7"/>
      <c r="Q29" s="7"/>
      <c r="R29" s="7"/>
      <c r="S29" s="7"/>
      <c r="T29" s="7"/>
    </row>
    <row r="30" spans="1:20" x14ac:dyDescent="0.3">
      <c r="A30" s="7"/>
      <c r="B30" s="7"/>
      <c r="C30" s="7"/>
      <c r="D30" s="7"/>
      <c r="E30" s="7"/>
      <c r="F30" s="7"/>
      <c r="G30" s="7"/>
      <c r="H30" s="7"/>
      <c r="I30" s="7"/>
      <c r="J30" s="7"/>
      <c r="K30" s="7"/>
      <c r="L30" s="7"/>
      <c r="M30" s="7"/>
      <c r="N30" s="7"/>
      <c r="O30" s="7"/>
      <c r="P30" s="7"/>
      <c r="Q30" s="7"/>
      <c r="R30" s="7"/>
      <c r="S30" s="7"/>
      <c r="T30" s="7"/>
    </row>
    <row r="31" spans="1:20" x14ac:dyDescent="0.3">
      <c r="A31" s="7"/>
      <c r="B31" s="7"/>
      <c r="C31" s="7"/>
      <c r="D31" s="7"/>
      <c r="E31" s="7"/>
      <c r="F31" s="7"/>
      <c r="G31" s="7"/>
      <c r="H31" s="7"/>
      <c r="I31" s="7"/>
      <c r="J31" s="7"/>
      <c r="K31" s="7"/>
      <c r="L31" s="7"/>
      <c r="M31" s="7"/>
      <c r="N31" s="7"/>
      <c r="O31" s="7"/>
      <c r="P31" s="7"/>
      <c r="Q31" s="7"/>
      <c r="R31" s="7"/>
      <c r="S31" s="7"/>
      <c r="T31" s="7"/>
    </row>
    <row r="32" spans="1:20" x14ac:dyDescent="0.3">
      <c r="A32" s="7"/>
      <c r="B32" s="7"/>
      <c r="C32" s="7"/>
      <c r="D32" s="7"/>
      <c r="E32" s="7"/>
      <c r="F32" s="7"/>
      <c r="G32" s="7"/>
      <c r="H32" s="7"/>
      <c r="I32" s="7"/>
      <c r="J32" s="7"/>
      <c r="K32" s="7"/>
      <c r="L32" s="7"/>
      <c r="M32" s="7"/>
      <c r="N32" s="7"/>
      <c r="O32" s="7"/>
      <c r="P32" s="7"/>
      <c r="Q32" s="7"/>
      <c r="R32" s="7"/>
      <c r="S32" s="7"/>
      <c r="T32" s="7"/>
    </row>
    <row r="33" spans="1:20" x14ac:dyDescent="0.3">
      <c r="A33" s="7"/>
      <c r="B33" s="7"/>
      <c r="C33" s="7"/>
      <c r="D33" s="7"/>
      <c r="E33" s="7"/>
      <c r="F33" s="7"/>
      <c r="G33" s="7"/>
      <c r="H33" s="7"/>
      <c r="I33" s="7"/>
      <c r="J33" s="7"/>
      <c r="K33" s="7"/>
      <c r="L33" s="7"/>
      <c r="M33" s="7"/>
      <c r="N33" s="7"/>
      <c r="O33" s="7"/>
      <c r="P33" s="7"/>
      <c r="Q33" s="7"/>
      <c r="R33" s="7"/>
      <c r="S33" s="7"/>
      <c r="T33" s="7"/>
    </row>
    <row r="34" spans="1:20" ht="25.8" x14ac:dyDescent="0.5">
      <c r="A34" s="7"/>
      <c r="B34" s="7"/>
      <c r="C34" s="7"/>
      <c r="D34" s="8" t="s">
        <v>365</v>
      </c>
      <c r="E34" s="8"/>
      <c r="F34" s="9" t="s">
        <v>366</v>
      </c>
      <c r="G34" s="9"/>
      <c r="H34" s="7"/>
      <c r="I34" s="7"/>
      <c r="J34" s="7"/>
      <c r="K34" s="7"/>
      <c r="L34" s="7"/>
      <c r="M34" s="7"/>
      <c r="N34" s="7"/>
      <c r="O34" s="7"/>
      <c r="P34" s="7"/>
      <c r="Q34" s="7"/>
      <c r="R34" s="7"/>
      <c r="S34" s="7"/>
      <c r="T34" s="7"/>
    </row>
    <row r="35" spans="1:20" x14ac:dyDescent="0.3">
      <c r="A35" s="7"/>
      <c r="B35" s="7"/>
      <c r="C35" s="7"/>
      <c r="D35" s="10">
        <f>SUM(Sales_Data!J:J)</f>
        <v>20543387.400000017</v>
      </c>
      <c r="E35" s="10"/>
      <c r="F35" s="11">
        <f>SUM(Sales_Data!G:G)</f>
        <v>1577</v>
      </c>
      <c r="G35" s="11"/>
      <c r="H35" s="7"/>
      <c r="I35" s="7"/>
      <c r="J35" s="7"/>
      <c r="K35" s="7"/>
      <c r="L35" s="7"/>
      <c r="M35" s="7"/>
      <c r="N35" s="7"/>
      <c r="O35" s="7"/>
      <c r="P35" s="7"/>
      <c r="Q35" s="7"/>
      <c r="R35" s="7"/>
      <c r="S35" s="7"/>
      <c r="T35" s="7"/>
    </row>
  </sheetData>
  <mergeCells count="5">
    <mergeCell ref="A1:P1"/>
    <mergeCell ref="D34:E34"/>
    <mergeCell ref="D35:E35"/>
    <mergeCell ref="F34:G34"/>
    <mergeCell ref="F35:G3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2"/>
  <sheetViews>
    <sheetView workbookViewId="0">
      <pane ySplit="1" topLeftCell="A78" activePane="bottomLeft" state="frozen"/>
      <selection pane="bottomLeft" activeCell="K211" sqref="K211"/>
    </sheetView>
  </sheetViews>
  <sheetFormatPr defaultRowHeight="14.4" x14ac:dyDescent="0.3"/>
  <cols>
    <col min="1" max="1" width="12" customWidth="1"/>
    <col min="2" max="2" width="14" customWidth="1"/>
    <col min="3" max="3" width="15" customWidth="1"/>
    <col min="4" max="4" width="12" customWidth="1"/>
    <col min="5" max="6" width="15" customWidth="1"/>
    <col min="7" max="9" width="12" customWidth="1"/>
    <col min="10" max="10" width="15" customWidth="1"/>
  </cols>
  <sheetData>
    <row r="1" spans="1:10" x14ac:dyDescent="0.3">
      <c r="A1" s="3" t="s">
        <v>0</v>
      </c>
      <c r="B1" s="3" t="s">
        <v>1</v>
      </c>
      <c r="C1" s="3" t="s">
        <v>2</v>
      </c>
      <c r="D1" s="3" t="s">
        <v>3</v>
      </c>
      <c r="E1" s="3" t="s">
        <v>4</v>
      </c>
      <c r="F1" s="3" t="s">
        <v>5</v>
      </c>
      <c r="G1" s="3" t="s">
        <v>6</v>
      </c>
      <c r="H1" s="3" t="s">
        <v>7</v>
      </c>
      <c r="I1" s="3" t="s">
        <v>8</v>
      </c>
      <c r="J1" s="3" t="s">
        <v>9</v>
      </c>
    </row>
    <row r="2" spans="1:10" x14ac:dyDescent="0.3">
      <c r="A2" t="s">
        <v>10</v>
      </c>
      <c r="B2" t="s">
        <v>11</v>
      </c>
      <c r="C2" t="s">
        <v>12</v>
      </c>
      <c r="D2" t="s">
        <v>13</v>
      </c>
      <c r="E2" t="s">
        <v>14</v>
      </c>
      <c r="F2" t="s">
        <v>15</v>
      </c>
      <c r="G2">
        <v>2</v>
      </c>
      <c r="H2">
        <v>2262</v>
      </c>
      <c r="I2" s="1">
        <v>0.1</v>
      </c>
      <c r="J2" s="2">
        <v>4071.6</v>
      </c>
    </row>
    <row r="3" spans="1:10" x14ac:dyDescent="0.3">
      <c r="A3" t="s">
        <v>16</v>
      </c>
      <c r="B3" t="s">
        <v>17</v>
      </c>
      <c r="C3" t="s">
        <v>18</v>
      </c>
      <c r="D3" t="s">
        <v>19</v>
      </c>
      <c r="E3" t="s">
        <v>14</v>
      </c>
      <c r="F3" t="s">
        <v>15</v>
      </c>
      <c r="G3">
        <v>2</v>
      </c>
      <c r="H3">
        <v>2588</v>
      </c>
      <c r="I3" s="1">
        <v>0</v>
      </c>
      <c r="J3" s="2">
        <v>5176</v>
      </c>
    </row>
    <row r="4" spans="1:10" x14ac:dyDescent="0.3">
      <c r="A4" t="s">
        <v>20</v>
      </c>
      <c r="B4" t="s">
        <v>21</v>
      </c>
      <c r="C4" t="s">
        <v>12</v>
      </c>
      <c r="D4" t="s">
        <v>22</v>
      </c>
      <c r="E4" t="s">
        <v>23</v>
      </c>
      <c r="F4" t="s">
        <v>24</v>
      </c>
      <c r="G4">
        <v>2</v>
      </c>
      <c r="H4">
        <v>42467</v>
      </c>
      <c r="I4" s="1">
        <v>0</v>
      </c>
      <c r="J4" s="2">
        <v>84934</v>
      </c>
    </row>
    <row r="5" spans="1:10" x14ac:dyDescent="0.3">
      <c r="A5" t="s">
        <v>25</v>
      </c>
      <c r="B5" t="s">
        <v>26</v>
      </c>
      <c r="C5" t="s">
        <v>12</v>
      </c>
      <c r="D5" t="s">
        <v>22</v>
      </c>
      <c r="E5" t="s">
        <v>27</v>
      </c>
      <c r="F5" t="s">
        <v>15</v>
      </c>
      <c r="G5">
        <v>8</v>
      </c>
      <c r="H5">
        <v>1526</v>
      </c>
      <c r="I5" s="1">
        <v>0</v>
      </c>
      <c r="J5" s="2">
        <v>12208</v>
      </c>
    </row>
    <row r="6" spans="1:10" x14ac:dyDescent="0.3">
      <c r="A6" t="s">
        <v>28</v>
      </c>
      <c r="B6" t="s">
        <v>29</v>
      </c>
      <c r="C6" t="s">
        <v>30</v>
      </c>
      <c r="D6" t="s">
        <v>22</v>
      </c>
      <c r="E6" t="s">
        <v>31</v>
      </c>
      <c r="F6" t="s">
        <v>24</v>
      </c>
      <c r="G6">
        <v>5</v>
      </c>
      <c r="H6">
        <v>11173</v>
      </c>
      <c r="I6" s="1">
        <v>0.1</v>
      </c>
      <c r="J6" s="2">
        <v>50278.5</v>
      </c>
    </row>
    <row r="7" spans="1:10" x14ac:dyDescent="0.3">
      <c r="A7" t="s">
        <v>32</v>
      </c>
      <c r="B7" t="s">
        <v>33</v>
      </c>
      <c r="C7" t="s">
        <v>30</v>
      </c>
      <c r="D7" t="s">
        <v>22</v>
      </c>
      <c r="E7" t="s">
        <v>23</v>
      </c>
      <c r="F7" t="s">
        <v>24</v>
      </c>
      <c r="G7">
        <v>6</v>
      </c>
      <c r="H7">
        <v>48127</v>
      </c>
      <c r="I7" s="1">
        <v>0.1</v>
      </c>
      <c r="J7" s="2">
        <v>259885.8</v>
      </c>
    </row>
    <row r="8" spans="1:10" x14ac:dyDescent="0.3">
      <c r="A8" t="s">
        <v>34</v>
      </c>
      <c r="B8" t="s">
        <v>35</v>
      </c>
      <c r="C8" t="s">
        <v>36</v>
      </c>
      <c r="D8" t="s">
        <v>37</v>
      </c>
      <c r="E8" t="s">
        <v>38</v>
      </c>
      <c r="F8" t="s">
        <v>24</v>
      </c>
      <c r="G8">
        <v>2</v>
      </c>
      <c r="H8">
        <v>16419</v>
      </c>
      <c r="I8" s="1">
        <v>0.15</v>
      </c>
      <c r="J8" s="2">
        <v>27912.3</v>
      </c>
    </row>
    <row r="9" spans="1:10" x14ac:dyDescent="0.3">
      <c r="A9" t="s">
        <v>39</v>
      </c>
      <c r="B9" t="s">
        <v>40</v>
      </c>
      <c r="C9" t="s">
        <v>12</v>
      </c>
      <c r="D9" t="s">
        <v>19</v>
      </c>
      <c r="E9" t="s">
        <v>14</v>
      </c>
      <c r="F9" t="s">
        <v>15</v>
      </c>
      <c r="G9">
        <v>10</v>
      </c>
      <c r="H9">
        <v>2692</v>
      </c>
      <c r="I9" s="1">
        <v>0.1</v>
      </c>
      <c r="J9" s="2">
        <v>24228</v>
      </c>
    </row>
    <row r="10" spans="1:10" x14ac:dyDescent="0.3">
      <c r="A10" t="s">
        <v>41</v>
      </c>
      <c r="B10" t="s">
        <v>35</v>
      </c>
      <c r="C10" t="s">
        <v>12</v>
      </c>
      <c r="D10" t="s">
        <v>19</v>
      </c>
      <c r="E10" t="s">
        <v>23</v>
      </c>
      <c r="F10" t="s">
        <v>24</v>
      </c>
      <c r="G10">
        <v>11</v>
      </c>
      <c r="H10">
        <v>42551</v>
      </c>
      <c r="I10" s="1">
        <v>0.1</v>
      </c>
      <c r="J10" s="2">
        <v>421254.9</v>
      </c>
    </row>
    <row r="11" spans="1:10" x14ac:dyDescent="0.3">
      <c r="A11" t="s">
        <v>42</v>
      </c>
      <c r="B11" t="s">
        <v>43</v>
      </c>
      <c r="C11" t="s">
        <v>44</v>
      </c>
      <c r="D11" t="s">
        <v>37</v>
      </c>
      <c r="E11" t="s">
        <v>45</v>
      </c>
      <c r="F11" t="s">
        <v>15</v>
      </c>
      <c r="G11">
        <v>5</v>
      </c>
      <c r="H11">
        <v>792</v>
      </c>
      <c r="I11" s="1">
        <v>0.1</v>
      </c>
      <c r="J11" s="2">
        <v>3564</v>
      </c>
    </row>
    <row r="12" spans="1:10" x14ac:dyDescent="0.3">
      <c r="A12" t="s">
        <v>46</v>
      </c>
      <c r="B12" t="s">
        <v>47</v>
      </c>
      <c r="C12" t="s">
        <v>48</v>
      </c>
      <c r="D12" t="s">
        <v>13</v>
      </c>
      <c r="E12" t="s">
        <v>27</v>
      </c>
      <c r="F12" t="s">
        <v>15</v>
      </c>
      <c r="G12">
        <v>11</v>
      </c>
      <c r="H12">
        <v>1430</v>
      </c>
      <c r="I12" s="1">
        <v>0</v>
      </c>
      <c r="J12" s="2">
        <v>15730</v>
      </c>
    </row>
    <row r="13" spans="1:10" x14ac:dyDescent="0.3">
      <c r="A13" t="s">
        <v>49</v>
      </c>
      <c r="B13" t="s">
        <v>50</v>
      </c>
      <c r="C13" t="s">
        <v>44</v>
      </c>
      <c r="D13" t="s">
        <v>13</v>
      </c>
      <c r="E13" t="s">
        <v>38</v>
      </c>
      <c r="F13" t="s">
        <v>24</v>
      </c>
      <c r="G13">
        <v>12</v>
      </c>
      <c r="H13">
        <v>14234</v>
      </c>
      <c r="I13" s="1">
        <v>0.15</v>
      </c>
      <c r="J13" s="2">
        <v>145186.79999999999</v>
      </c>
    </row>
    <row r="14" spans="1:10" x14ac:dyDescent="0.3">
      <c r="A14" t="s">
        <v>51</v>
      </c>
      <c r="B14" t="s">
        <v>52</v>
      </c>
      <c r="C14" t="s">
        <v>30</v>
      </c>
      <c r="D14" t="s">
        <v>37</v>
      </c>
      <c r="E14" t="s">
        <v>14</v>
      </c>
      <c r="F14" t="s">
        <v>15</v>
      </c>
      <c r="G14">
        <v>6</v>
      </c>
      <c r="H14">
        <v>2671</v>
      </c>
      <c r="I14" s="1">
        <v>0</v>
      </c>
      <c r="J14" s="2">
        <v>16026</v>
      </c>
    </row>
    <row r="15" spans="1:10" x14ac:dyDescent="0.3">
      <c r="A15" t="s">
        <v>53</v>
      </c>
      <c r="B15" t="s">
        <v>54</v>
      </c>
      <c r="C15" t="s">
        <v>48</v>
      </c>
      <c r="D15" t="s">
        <v>22</v>
      </c>
      <c r="E15" t="s">
        <v>45</v>
      </c>
      <c r="F15" t="s">
        <v>15</v>
      </c>
      <c r="G15">
        <v>5</v>
      </c>
      <c r="H15">
        <v>730</v>
      </c>
      <c r="I15" s="1">
        <v>0.1</v>
      </c>
      <c r="J15" s="2">
        <v>3285</v>
      </c>
    </row>
    <row r="16" spans="1:10" x14ac:dyDescent="0.3">
      <c r="A16" t="s">
        <v>55</v>
      </c>
      <c r="B16" t="s">
        <v>56</v>
      </c>
      <c r="C16" t="s">
        <v>44</v>
      </c>
      <c r="D16" t="s">
        <v>13</v>
      </c>
      <c r="E16" t="s">
        <v>45</v>
      </c>
      <c r="F16" t="s">
        <v>15</v>
      </c>
      <c r="G16">
        <v>15</v>
      </c>
      <c r="H16">
        <v>866</v>
      </c>
      <c r="I16" s="1">
        <v>0.15</v>
      </c>
      <c r="J16" s="2">
        <v>11041.5</v>
      </c>
    </row>
    <row r="17" spans="1:10" x14ac:dyDescent="0.3">
      <c r="A17" t="s">
        <v>57</v>
      </c>
      <c r="B17" t="s">
        <v>58</v>
      </c>
      <c r="C17" t="s">
        <v>36</v>
      </c>
      <c r="D17" t="s">
        <v>22</v>
      </c>
      <c r="E17" t="s">
        <v>27</v>
      </c>
      <c r="F17" t="s">
        <v>15</v>
      </c>
      <c r="G17">
        <v>12</v>
      </c>
      <c r="H17">
        <v>1518</v>
      </c>
      <c r="I17" s="1">
        <v>0.1</v>
      </c>
      <c r="J17" s="2">
        <v>16394.400000000001</v>
      </c>
    </row>
    <row r="18" spans="1:10" x14ac:dyDescent="0.3">
      <c r="A18" t="s">
        <v>59</v>
      </c>
      <c r="B18" t="s">
        <v>60</v>
      </c>
      <c r="C18" t="s">
        <v>18</v>
      </c>
      <c r="D18" t="s">
        <v>19</v>
      </c>
      <c r="E18" t="s">
        <v>38</v>
      </c>
      <c r="F18" t="s">
        <v>24</v>
      </c>
      <c r="G18">
        <v>7</v>
      </c>
      <c r="H18">
        <v>14585</v>
      </c>
      <c r="I18" s="1">
        <v>0.05</v>
      </c>
      <c r="J18" s="2">
        <v>96990.25</v>
      </c>
    </row>
    <row r="19" spans="1:10" x14ac:dyDescent="0.3">
      <c r="A19" t="s">
        <v>61</v>
      </c>
      <c r="B19" t="s">
        <v>62</v>
      </c>
      <c r="C19" t="s">
        <v>48</v>
      </c>
      <c r="D19" t="s">
        <v>22</v>
      </c>
      <c r="E19" t="s">
        <v>23</v>
      </c>
      <c r="F19" t="s">
        <v>24</v>
      </c>
      <c r="G19">
        <v>14</v>
      </c>
      <c r="H19">
        <v>41486</v>
      </c>
      <c r="I19" s="1">
        <v>0.05</v>
      </c>
      <c r="J19" s="2">
        <v>551763.80000000005</v>
      </c>
    </row>
    <row r="20" spans="1:10" x14ac:dyDescent="0.3">
      <c r="A20" t="s">
        <v>63</v>
      </c>
      <c r="B20" t="s">
        <v>64</v>
      </c>
      <c r="C20" t="s">
        <v>44</v>
      </c>
      <c r="D20" t="s">
        <v>19</v>
      </c>
      <c r="E20" t="s">
        <v>38</v>
      </c>
      <c r="F20" t="s">
        <v>24</v>
      </c>
      <c r="G20">
        <v>2</v>
      </c>
      <c r="H20">
        <v>14654</v>
      </c>
      <c r="I20" s="1">
        <v>0.15</v>
      </c>
      <c r="J20" s="2">
        <v>24911.8</v>
      </c>
    </row>
    <row r="21" spans="1:10" x14ac:dyDescent="0.3">
      <c r="A21" t="s">
        <v>65</v>
      </c>
      <c r="B21" t="s">
        <v>66</v>
      </c>
      <c r="C21" t="s">
        <v>48</v>
      </c>
      <c r="D21" t="s">
        <v>37</v>
      </c>
      <c r="E21" t="s">
        <v>14</v>
      </c>
      <c r="F21" t="s">
        <v>15</v>
      </c>
      <c r="G21">
        <v>12</v>
      </c>
      <c r="H21">
        <v>2307</v>
      </c>
      <c r="I21" s="1">
        <v>0.1</v>
      </c>
      <c r="J21" s="2">
        <v>24915.599999999999</v>
      </c>
    </row>
    <row r="22" spans="1:10" x14ac:dyDescent="0.3">
      <c r="A22" t="s">
        <v>67</v>
      </c>
      <c r="B22" t="s">
        <v>68</v>
      </c>
      <c r="C22" t="s">
        <v>48</v>
      </c>
      <c r="D22" t="s">
        <v>37</v>
      </c>
      <c r="E22" t="s">
        <v>23</v>
      </c>
      <c r="F22" t="s">
        <v>24</v>
      </c>
      <c r="G22">
        <v>5</v>
      </c>
      <c r="H22">
        <v>44412</v>
      </c>
      <c r="I22" s="1">
        <v>0.15</v>
      </c>
      <c r="J22" s="2">
        <v>188751</v>
      </c>
    </row>
    <row r="23" spans="1:10" x14ac:dyDescent="0.3">
      <c r="A23" t="s">
        <v>69</v>
      </c>
      <c r="B23" t="s">
        <v>70</v>
      </c>
      <c r="C23" t="s">
        <v>48</v>
      </c>
      <c r="D23" t="s">
        <v>37</v>
      </c>
      <c r="E23" t="s">
        <v>38</v>
      </c>
      <c r="F23" t="s">
        <v>24</v>
      </c>
      <c r="G23">
        <v>13</v>
      </c>
      <c r="H23">
        <v>14035</v>
      </c>
      <c r="I23" s="1">
        <v>0</v>
      </c>
      <c r="J23" s="2">
        <v>182455</v>
      </c>
    </row>
    <row r="24" spans="1:10" x14ac:dyDescent="0.3">
      <c r="A24" t="s">
        <v>71</v>
      </c>
      <c r="B24" t="s">
        <v>72</v>
      </c>
      <c r="C24" t="s">
        <v>12</v>
      </c>
      <c r="D24" t="s">
        <v>19</v>
      </c>
      <c r="E24" t="s">
        <v>14</v>
      </c>
      <c r="F24" t="s">
        <v>15</v>
      </c>
      <c r="G24">
        <v>9</v>
      </c>
      <c r="H24">
        <v>2554</v>
      </c>
      <c r="I24" s="1">
        <v>0.05</v>
      </c>
      <c r="J24" s="2">
        <v>21836.7</v>
      </c>
    </row>
    <row r="25" spans="1:10" x14ac:dyDescent="0.3">
      <c r="A25" t="s">
        <v>73</v>
      </c>
      <c r="B25" t="s">
        <v>74</v>
      </c>
      <c r="C25" t="s">
        <v>44</v>
      </c>
      <c r="D25" t="s">
        <v>37</v>
      </c>
      <c r="E25" t="s">
        <v>38</v>
      </c>
      <c r="F25" t="s">
        <v>24</v>
      </c>
      <c r="G25">
        <v>6</v>
      </c>
      <c r="H25">
        <v>14965</v>
      </c>
      <c r="I25" s="1">
        <v>0</v>
      </c>
      <c r="J25" s="2">
        <v>89790</v>
      </c>
    </row>
    <row r="26" spans="1:10" x14ac:dyDescent="0.3">
      <c r="A26" t="s">
        <v>75</v>
      </c>
      <c r="B26" t="s">
        <v>76</v>
      </c>
      <c r="C26" t="s">
        <v>48</v>
      </c>
      <c r="D26" t="s">
        <v>22</v>
      </c>
      <c r="E26" t="s">
        <v>27</v>
      </c>
      <c r="F26" t="s">
        <v>15</v>
      </c>
      <c r="G26">
        <v>1</v>
      </c>
      <c r="H26">
        <v>1422</v>
      </c>
      <c r="I26" s="1">
        <v>0</v>
      </c>
      <c r="J26" s="2">
        <v>1422</v>
      </c>
    </row>
    <row r="27" spans="1:10" x14ac:dyDescent="0.3">
      <c r="A27" t="s">
        <v>77</v>
      </c>
      <c r="B27" t="s">
        <v>78</v>
      </c>
      <c r="C27" t="s">
        <v>48</v>
      </c>
      <c r="D27" t="s">
        <v>22</v>
      </c>
      <c r="E27" t="s">
        <v>23</v>
      </c>
      <c r="F27" t="s">
        <v>24</v>
      </c>
      <c r="G27">
        <v>13</v>
      </c>
      <c r="H27">
        <v>45294</v>
      </c>
      <c r="I27" s="1">
        <v>0.05</v>
      </c>
      <c r="J27" s="2">
        <v>559380.9</v>
      </c>
    </row>
    <row r="28" spans="1:10" x14ac:dyDescent="0.3">
      <c r="A28" t="s">
        <v>79</v>
      </c>
      <c r="B28" t="s">
        <v>54</v>
      </c>
      <c r="C28" t="s">
        <v>36</v>
      </c>
      <c r="D28" t="s">
        <v>13</v>
      </c>
      <c r="E28" t="s">
        <v>38</v>
      </c>
      <c r="F28" t="s">
        <v>24</v>
      </c>
      <c r="G28">
        <v>3</v>
      </c>
      <c r="H28">
        <v>14295</v>
      </c>
      <c r="I28" s="1">
        <v>0.15</v>
      </c>
      <c r="J28" s="2">
        <v>36452.25</v>
      </c>
    </row>
    <row r="29" spans="1:10" x14ac:dyDescent="0.3">
      <c r="A29" t="s">
        <v>80</v>
      </c>
      <c r="B29" t="s">
        <v>81</v>
      </c>
      <c r="C29" t="s">
        <v>36</v>
      </c>
      <c r="D29" t="s">
        <v>22</v>
      </c>
      <c r="E29" t="s">
        <v>14</v>
      </c>
      <c r="F29" t="s">
        <v>15</v>
      </c>
      <c r="G29">
        <v>5</v>
      </c>
      <c r="H29">
        <v>2449</v>
      </c>
      <c r="I29" s="1">
        <v>0.1</v>
      </c>
      <c r="J29" s="2">
        <v>11020.5</v>
      </c>
    </row>
    <row r="30" spans="1:10" x14ac:dyDescent="0.3">
      <c r="A30" t="s">
        <v>82</v>
      </c>
      <c r="B30" t="s">
        <v>83</v>
      </c>
      <c r="C30" t="s">
        <v>36</v>
      </c>
      <c r="D30" t="s">
        <v>13</v>
      </c>
      <c r="E30" t="s">
        <v>23</v>
      </c>
      <c r="F30" t="s">
        <v>24</v>
      </c>
      <c r="G30">
        <v>4</v>
      </c>
      <c r="H30">
        <v>42522</v>
      </c>
      <c r="I30" s="1">
        <v>0.1</v>
      </c>
      <c r="J30" s="2">
        <v>153079.20000000001</v>
      </c>
    </row>
    <row r="31" spans="1:10" x14ac:dyDescent="0.3">
      <c r="A31" t="s">
        <v>84</v>
      </c>
      <c r="B31" t="s">
        <v>52</v>
      </c>
      <c r="C31" t="s">
        <v>30</v>
      </c>
      <c r="D31" t="s">
        <v>19</v>
      </c>
      <c r="E31" t="s">
        <v>38</v>
      </c>
      <c r="F31" t="s">
        <v>24</v>
      </c>
      <c r="G31">
        <v>4</v>
      </c>
      <c r="H31">
        <v>13521</v>
      </c>
      <c r="I31" s="1">
        <v>0</v>
      </c>
      <c r="J31" s="2">
        <v>54084</v>
      </c>
    </row>
    <row r="32" spans="1:10" x14ac:dyDescent="0.3">
      <c r="A32" t="s">
        <v>85</v>
      </c>
      <c r="B32" t="s">
        <v>86</v>
      </c>
      <c r="C32" t="s">
        <v>18</v>
      </c>
      <c r="D32" t="s">
        <v>13</v>
      </c>
      <c r="E32" t="s">
        <v>31</v>
      </c>
      <c r="F32" t="s">
        <v>24</v>
      </c>
      <c r="G32">
        <v>2</v>
      </c>
      <c r="H32">
        <v>12033</v>
      </c>
      <c r="I32" s="1">
        <v>0.1</v>
      </c>
      <c r="J32" s="2">
        <v>21659.4</v>
      </c>
    </row>
    <row r="33" spans="1:10" x14ac:dyDescent="0.3">
      <c r="A33" t="s">
        <v>87</v>
      </c>
      <c r="B33" t="s">
        <v>11</v>
      </c>
      <c r="C33" t="s">
        <v>18</v>
      </c>
      <c r="D33" t="s">
        <v>22</v>
      </c>
      <c r="E33" t="s">
        <v>38</v>
      </c>
      <c r="F33" t="s">
        <v>24</v>
      </c>
      <c r="G33">
        <v>3</v>
      </c>
      <c r="H33">
        <v>15670</v>
      </c>
      <c r="I33" s="1">
        <v>0.15</v>
      </c>
      <c r="J33" s="2">
        <v>39958.5</v>
      </c>
    </row>
    <row r="34" spans="1:10" x14ac:dyDescent="0.3">
      <c r="A34" t="s">
        <v>88</v>
      </c>
      <c r="B34" t="s">
        <v>89</v>
      </c>
      <c r="C34" t="s">
        <v>18</v>
      </c>
      <c r="D34" t="s">
        <v>22</v>
      </c>
      <c r="E34" t="s">
        <v>27</v>
      </c>
      <c r="F34" t="s">
        <v>15</v>
      </c>
      <c r="G34">
        <v>2</v>
      </c>
      <c r="H34">
        <v>1379</v>
      </c>
      <c r="I34" s="1">
        <v>0.15</v>
      </c>
      <c r="J34" s="2">
        <v>2344.3000000000002</v>
      </c>
    </row>
    <row r="35" spans="1:10" x14ac:dyDescent="0.3">
      <c r="A35" t="s">
        <v>90</v>
      </c>
      <c r="B35" t="s">
        <v>91</v>
      </c>
      <c r="C35" t="s">
        <v>18</v>
      </c>
      <c r="D35" t="s">
        <v>37</v>
      </c>
      <c r="E35" t="s">
        <v>45</v>
      </c>
      <c r="F35" t="s">
        <v>15</v>
      </c>
      <c r="G35">
        <v>14</v>
      </c>
      <c r="H35">
        <v>836</v>
      </c>
      <c r="I35" s="1">
        <v>0</v>
      </c>
      <c r="J35" s="2">
        <v>11704</v>
      </c>
    </row>
    <row r="36" spans="1:10" x14ac:dyDescent="0.3">
      <c r="A36" t="s">
        <v>92</v>
      </c>
      <c r="B36" t="s">
        <v>93</v>
      </c>
      <c r="C36" t="s">
        <v>18</v>
      </c>
      <c r="D36" t="s">
        <v>13</v>
      </c>
      <c r="E36" t="s">
        <v>23</v>
      </c>
      <c r="F36" t="s">
        <v>24</v>
      </c>
      <c r="G36">
        <v>4</v>
      </c>
      <c r="H36">
        <v>42224</v>
      </c>
      <c r="I36" s="1">
        <v>0.15</v>
      </c>
      <c r="J36" s="2">
        <v>143561.60000000001</v>
      </c>
    </row>
    <row r="37" spans="1:10" x14ac:dyDescent="0.3">
      <c r="A37" t="s">
        <v>94</v>
      </c>
      <c r="B37" t="s">
        <v>95</v>
      </c>
      <c r="C37" t="s">
        <v>36</v>
      </c>
      <c r="D37" t="s">
        <v>19</v>
      </c>
      <c r="E37" t="s">
        <v>31</v>
      </c>
      <c r="F37" t="s">
        <v>24</v>
      </c>
      <c r="G37">
        <v>8</v>
      </c>
      <c r="H37">
        <v>11399</v>
      </c>
      <c r="I37" s="1">
        <v>0</v>
      </c>
      <c r="J37" s="2">
        <v>91192</v>
      </c>
    </row>
    <row r="38" spans="1:10" x14ac:dyDescent="0.3">
      <c r="A38" t="s">
        <v>96</v>
      </c>
      <c r="B38" t="s">
        <v>97</v>
      </c>
      <c r="C38" t="s">
        <v>12</v>
      </c>
      <c r="D38" t="s">
        <v>13</v>
      </c>
      <c r="E38" t="s">
        <v>23</v>
      </c>
      <c r="F38" t="s">
        <v>24</v>
      </c>
      <c r="G38">
        <v>11</v>
      </c>
      <c r="H38">
        <v>49493</v>
      </c>
      <c r="I38" s="1">
        <v>0</v>
      </c>
      <c r="J38" s="2">
        <v>544423</v>
      </c>
    </row>
    <row r="39" spans="1:10" x14ac:dyDescent="0.3">
      <c r="A39" t="s">
        <v>98</v>
      </c>
      <c r="B39" t="s">
        <v>99</v>
      </c>
      <c r="C39" t="s">
        <v>30</v>
      </c>
      <c r="D39" t="s">
        <v>13</v>
      </c>
      <c r="E39" t="s">
        <v>45</v>
      </c>
      <c r="F39" t="s">
        <v>15</v>
      </c>
      <c r="G39">
        <v>8</v>
      </c>
      <c r="H39">
        <v>797</v>
      </c>
      <c r="I39" s="1">
        <v>0.15</v>
      </c>
      <c r="J39" s="2">
        <v>5419.6</v>
      </c>
    </row>
    <row r="40" spans="1:10" x14ac:dyDescent="0.3">
      <c r="A40" t="s">
        <v>100</v>
      </c>
      <c r="B40" t="s">
        <v>74</v>
      </c>
      <c r="C40" t="s">
        <v>18</v>
      </c>
      <c r="D40" t="s">
        <v>37</v>
      </c>
      <c r="E40" t="s">
        <v>45</v>
      </c>
      <c r="F40" t="s">
        <v>15</v>
      </c>
      <c r="G40">
        <v>1</v>
      </c>
      <c r="H40">
        <v>877</v>
      </c>
      <c r="I40" s="1">
        <v>0.1</v>
      </c>
      <c r="J40" s="2">
        <v>789.3</v>
      </c>
    </row>
    <row r="41" spans="1:10" x14ac:dyDescent="0.3">
      <c r="A41" t="s">
        <v>101</v>
      </c>
      <c r="B41" t="s">
        <v>102</v>
      </c>
      <c r="C41" t="s">
        <v>12</v>
      </c>
      <c r="D41" t="s">
        <v>37</v>
      </c>
      <c r="E41" t="s">
        <v>45</v>
      </c>
      <c r="F41" t="s">
        <v>15</v>
      </c>
      <c r="G41">
        <v>12</v>
      </c>
      <c r="H41">
        <v>873</v>
      </c>
      <c r="I41" s="1">
        <v>0.15</v>
      </c>
      <c r="J41" s="2">
        <v>8904.6</v>
      </c>
    </row>
    <row r="42" spans="1:10" x14ac:dyDescent="0.3">
      <c r="A42" t="s">
        <v>103</v>
      </c>
      <c r="B42" t="s">
        <v>58</v>
      </c>
      <c r="C42" t="s">
        <v>44</v>
      </c>
      <c r="D42" t="s">
        <v>19</v>
      </c>
      <c r="E42" t="s">
        <v>27</v>
      </c>
      <c r="F42" t="s">
        <v>15</v>
      </c>
      <c r="G42">
        <v>1</v>
      </c>
      <c r="H42">
        <v>1523</v>
      </c>
      <c r="I42" s="1">
        <v>0</v>
      </c>
      <c r="J42" s="2">
        <v>1523</v>
      </c>
    </row>
    <row r="43" spans="1:10" x14ac:dyDescent="0.3">
      <c r="A43" t="s">
        <v>104</v>
      </c>
      <c r="B43" t="s">
        <v>105</v>
      </c>
      <c r="C43" t="s">
        <v>36</v>
      </c>
      <c r="D43" t="s">
        <v>19</v>
      </c>
      <c r="E43" t="s">
        <v>23</v>
      </c>
      <c r="F43" t="s">
        <v>24</v>
      </c>
      <c r="G43">
        <v>10</v>
      </c>
      <c r="H43">
        <v>44791</v>
      </c>
      <c r="I43" s="1">
        <v>0.05</v>
      </c>
      <c r="J43" s="2">
        <v>425514.5</v>
      </c>
    </row>
    <row r="44" spans="1:10" x14ac:dyDescent="0.3">
      <c r="A44" t="s">
        <v>106</v>
      </c>
      <c r="B44" t="s">
        <v>107</v>
      </c>
      <c r="C44" t="s">
        <v>30</v>
      </c>
      <c r="D44" t="s">
        <v>13</v>
      </c>
      <c r="E44" t="s">
        <v>27</v>
      </c>
      <c r="F44" t="s">
        <v>15</v>
      </c>
      <c r="G44">
        <v>2</v>
      </c>
      <c r="H44">
        <v>1528</v>
      </c>
      <c r="I44" s="1">
        <v>0.05</v>
      </c>
      <c r="J44" s="2">
        <v>2903.2</v>
      </c>
    </row>
    <row r="45" spans="1:10" x14ac:dyDescent="0.3">
      <c r="A45" t="s">
        <v>108</v>
      </c>
      <c r="B45" t="s">
        <v>109</v>
      </c>
      <c r="C45" t="s">
        <v>48</v>
      </c>
      <c r="D45" t="s">
        <v>37</v>
      </c>
      <c r="E45" t="s">
        <v>38</v>
      </c>
      <c r="F45" t="s">
        <v>24</v>
      </c>
      <c r="G45">
        <v>10</v>
      </c>
      <c r="H45">
        <v>13619</v>
      </c>
      <c r="I45" s="1">
        <v>0</v>
      </c>
      <c r="J45" s="2">
        <v>136190</v>
      </c>
    </row>
    <row r="46" spans="1:10" x14ac:dyDescent="0.3">
      <c r="A46" t="s">
        <v>110</v>
      </c>
      <c r="B46" t="s">
        <v>111</v>
      </c>
      <c r="C46" t="s">
        <v>44</v>
      </c>
      <c r="D46" t="s">
        <v>22</v>
      </c>
      <c r="E46" t="s">
        <v>31</v>
      </c>
      <c r="F46" t="s">
        <v>24</v>
      </c>
      <c r="G46">
        <v>4</v>
      </c>
      <c r="H46">
        <v>12407</v>
      </c>
      <c r="I46" s="1">
        <v>0.1</v>
      </c>
      <c r="J46" s="2">
        <v>44665.2</v>
      </c>
    </row>
    <row r="47" spans="1:10" x14ac:dyDescent="0.3">
      <c r="A47" t="s">
        <v>112</v>
      </c>
      <c r="B47" t="s">
        <v>113</v>
      </c>
      <c r="C47" t="s">
        <v>30</v>
      </c>
      <c r="D47" t="s">
        <v>19</v>
      </c>
      <c r="E47" t="s">
        <v>27</v>
      </c>
      <c r="F47" t="s">
        <v>15</v>
      </c>
      <c r="G47">
        <v>11</v>
      </c>
      <c r="H47">
        <v>1543</v>
      </c>
      <c r="I47" s="1">
        <v>0.15</v>
      </c>
      <c r="J47" s="2">
        <v>14427.05</v>
      </c>
    </row>
    <row r="48" spans="1:10" x14ac:dyDescent="0.3">
      <c r="A48" t="s">
        <v>114</v>
      </c>
      <c r="B48" t="s">
        <v>115</v>
      </c>
      <c r="C48" t="s">
        <v>36</v>
      </c>
      <c r="D48" t="s">
        <v>13</v>
      </c>
      <c r="E48" t="s">
        <v>45</v>
      </c>
      <c r="F48" t="s">
        <v>15</v>
      </c>
      <c r="G48">
        <v>10</v>
      </c>
      <c r="H48">
        <v>879</v>
      </c>
      <c r="I48" s="1">
        <v>0</v>
      </c>
      <c r="J48" s="2">
        <v>8790</v>
      </c>
    </row>
    <row r="49" spans="1:10" x14ac:dyDescent="0.3">
      <c r="A49" t="s">
        <v>116</v>
      </c>
      <c r="B49" t="s">
        <v>117</v>
      </c>
      <c r="C49" t="s">
        <v>30</v>
      </c>
      <c r="D49" t="s">
        <v>13</v>
      </c>
      <c r="E49" t="s">
        <v>38</v>
      </c>
      <c r="F49" t="s">
        <v>24</v>
      </c>
      <c r="G49">
        <v>5</v>
      </c>
      <c r="H49">
        <v>13897</v>
      </c>
      <c r="I49" s="1">
        <v>0.1</v>
      </c>
      <c r="J49" s="2">
        <v>62536.5</v>
      </c>
    </row>
    <row r="50" spans="1:10" x14ac:dyDescent="0.3">
      <c r="A50" t="s">
        <v>118</v>
      </c>
      <c r="B50" t="s">
        <v>119</v>
      </c>
      <c r="C50" t="s">
        <v>48</v>
      </c>
      <c r="D50" t="s">
        <v>19</v>
      </c>
      <c r="E50" t="s">
        <v>31</v>
      </c>
      <c r="F50" t="s">
        <v>24</v>
      </c>
      <c r="G50">
        <v>5</v>
      </c>
      <c r="H50">
        <v>11178</v>
      </c>
      <c r="I50" s="1">
        <v>0.1</v>
      </c>
      <c r="J50" s="2">
        <v>50301</v>
      </c>
    </row>
    <row r="51" spans="1:10" x14ac:dyDescent="0.3">
      <c r="A51" t="s">
        <v>120</v>
      </c>
      <c r="B51" t="s">
        <v>121</v>
      </c>
      <c r="C51" t="s">
        <v>12</v>
      </c>
      <c r="D51" t="s">
        <v>37</v>
      </c>
      <c r="E51" t="s">
        <v>14</v>
      </c>
      <c r="F51" t="s">
        <v>15</v>
      </c>
      <c r="G51">
        <v>14</v>
      </c>
      <c r="H51">
        <v>2527</v>
      </c>
      <c r="I51" s="1">
        <v>0</v>
      </c>
      <c r="J51" s="2">
        <v>35378</v>
      </c>
    </row>
    <row r="52" spans="1:10" x14ac:dyDescent="0.3">
      <c r="A52" t="s">
        <v>122</v>
      </c>
      <c r="B52" t="s">
        <v>123</v>
      </c>
      <c r="C52" t="s">
        <v>44</v>
      </c>
      <c r="D52" t="s">
        <v>13</v>
      </c>
      <c r="E52" t="s">
        <v>23</v>
      </c>
      <c r="F52" t="s">
        <v>24</v>
      </c>
      <c r="G52">
        <v>15</v>
      </c>
      <c r="H52">
        <v>41463</v>
      </c>
      <c r="I52" s="1">
        <v>0.05</v>
      </c>
      <c r="J52" s="2">
        <v>590847.75</v>
      </c>
    </row>
    <row r="53" spans="1:10" x14ac:dyDescent="0.3">
      <c r="A53" t="s">
        <v>124</v>
      </c>
      <c r="B53" t="s">
        <v>125</v>
      </c>
      <c r="C53" t="s">
        <v>18</v>
      </c>
      <c r="D53" t="s">
        <v>37</v>
      </c>
      <c r="E53" t="s">
        <v>14</v>
      </c>
      <c r="F53" t="s">
        <v>15</v>
      </c>
      <c r="G53">
        <v>6</v>
      </c>
      <c r="H53">
        <v>2351</v>
      </c>
      <c r="I53" s="1">
        <v>0.1</v>
      </c>
      <c r="J53" s="2">
        <v>12695.4</v>
      </c>
    </row>
    <row r="54" spans="1:10" x14ac:dyDescent="0.3">
      <c r="A54" t="s">
        <v>126</v>
      </c>
      <c r="B54" t="s">
        <v>127</v>
      </c>
      <c r="C54" t="s">
        <v>30</v>
      </c>
      <c r="D54" t="s">
        <v>37</v>
      </c>
      <c r="E54" t="s">
        <v>23</v>
      </c>
      <c r="F54" t="s">
        <v>24</v>
      </c>
      <c r="G54">
        <v>2</v>
      </c>
      <c r="H54">
        <v>46208</v>
      </c>
      <c r="I54" s="1">
        <v>0.1</v>
      </c>
      <c r="J54" s="2">
        <v>83174.399999999994</v>
      </c>
    </row>
    <row r="55" spans="1:10" x14ac:dyDescent="0.3">
      <c r="A55" t="s">
        <v>128</v>
      </c>
      <c r="B55" t="s">
        <v>129</v>
      </c>
      <c r="C55" t="s">
        <v>18</v>
      </c>
      <c r="D55" t="s">
        <v>22</v>
      </c>
      <c r="E55" t="s">
        <v>27</v>
      </c>
      <c r="F55" t="s">
        <v>15</v>
      </c>
      <c r="G55">
        <v>11</v>
      </c>
      <c r="H55">
        <v>1643</v>
      </c>
      <c r="I55" s="1">
        <v>0.05</v>
      </c>
      <c r="J55" s="2">
        <v>17169.349999999999</v>
      </c>
    </row>
    <row r="56" spans="1:10" x14ac:dyDescent="0.3">
      <c r="A56" t="s">
        <v>130</v>
      </c>
      <c r="B56" t="s">
        <v>131</v>
      </c>
      <c r="C56" t="s">
        <v>30</v>
      </c>
      <c r="D56" t="s">
        <v>37</v>
      </c>
      <c r="E56" t="s">
        <v>38</v>
      </c>
      <c r="F56" t="s">
        <v>24</v>
      </c>
      <c r="G56">
        <v>1</v>
      </c>
      <c r="H56">
        <v>13835</v>
      </c>
      <c r="I56" s="1">
        <v>0.05</v>
      </c>
      <c r="J56" s="2">
        <v>13143.25</v>
      </c>
    </row>
    <row r="57" spans="1:10" x14ac:dyDescent="0.3">
      <c r="A57" t="s">
        <v>132</v>
      </c>
      <c r="B57" t="s">
        <v>133</v>
      </c>
      <c r="C57" t="s">
        <v>44</v>
      </c>
      <c r="D57" t="s">
        <v>37</v>
      </c>
      <c r="E57" t="s">
        <v>38</v>
      </c>
      <c r="F57" t="s">
        <v>24</v>
      </c>
      <c r="G57">
        <v>9</v>
      </c>
      <c r="H57">
        <v>13944</v>
      </c>
      <c r="I57" s="1">
        <v>0.05</v>
      </c>
      <c r="J57" s="2">
        <v>119221.2</v>
      </c>
    </row>
    <row r="58" spans="1:10" x14ac:dyDescent="0.3">
      <c r="A58" t="s">
        <v>134</v>
      </c>
      <c r="B58" t="s">
        <v>135</v>
      </c>
      <c r="C58" t="s">
        <v>30</v>
      </c>
      <c r="D58" t="s">
        <v>37</v>
      </c>
      <c r="E58" t="s">
        <v>23</v>
      </c>
      <c r="F58" t="s">
        <v>24</v>
      </c>
      <c r="G58">
        <v>15</v>
      </c>
      <c r="H58">
        <v>43720</v>
      </c>
      <c r="I58" s="1">
        <v>0.05</v>
      </c>
      <c r="J58" s="2">
        <v>623010</v>
      </c>
    </row>
    <row r="59" spans="1:10" x14ac:dyDescent="0.3">
      <c r="A59" t="s">
        <v>136</v>
      </c>
      <c r="B59" t="s">
        <v>137</v>
      </c>
      <c r="C59" t="s">
        <v>12</v>
      </c>
      <c r="D59" t="s">
        <v>13</v>
      </c>
      <c r="E59" t="s">
        <v>38</v>
      </c>
      <c r="F59" t="s">
        <v>24</v>
      </c>
      <c r="G59">
        <v>15</v>
      </c>
      <c r="H59">
        <v>16124</v>
      </c>
      <c r="I59" s="1">
        <v>0.05</v>
      </c>
      <c r="J59" s="2">
        <v>229767</v>
      </c>
    </row>
    <row r="60" spans="1:10" x14ac:dyDescent="0.3">
      <c r="A60" t="s">
        <v>138</v>
      </c>
      <c r="B60" t="s">
        <v>139</v>
      </c>
      <c r="C60" t="s">
        <v>44</v>
      </c>
      <c r="D60" t="s">
        <v>22</v>
      </c>
      <c r="E60" t="s">
        <v>27</v>
      </c>
      <c r="F60" t="s">
        <v>15</v>
      </c>
      <c r="G60">
        <v>15</v>
      </c>
      <c r="H60">
        <v>1473</v>
      </c>
      <c r="I60" s="1">
        <v>0.05</v>
      </c>
      <c r="J60" s="2">
        <v>20990.25</v>
      </c>
    </row>
    <row r="61" spans="1:10" x14ac:dyDescent="0.3">
      <c r="A61" t="s">
        <v>140</v>
      </c>
      <c r="B61" t="s">
        <v>141</v>
      </c>
      <c r="C61" t="s">
        <v>12</v>
      </c>
      <c r="D61" t="s">
        <v>19</v>
      </c>
      <c r="E61" t="s">
        <v>14</v>
      </c>
      <c r="F61" t="s">
        <v>15</v>
      </c>
      <c r="G61">
        <v>14</v>
      </c>
      <c r="H61">
        <v>2617</v>
      </c>
      <c r="I61" s="1">
        <v>0.05</v>
      </c>
      <c r="J61" s="2">
        <v>34806.1</v>
      </c>
    </row>
    <row r="62" spans="1:10" x14ac:dyDescent="0.3">
      <c r="A62" t="s">
        <v>142</v>
      </c>
      <c r="B62" t="s">
        <v>143</v>
      </c>
      <c r="C62" t="s">
        <v>12</v>
      </c>
      <c r="D62" t="s">
        <v>22</v>
      </c>
      <c r="E62" t="s">
        <v>45</v>
      </c>
      <c r="F62" t="s">
        <v>15</v>
      </c>
      <c r="G62">
        <v>14</v>
      </c>
      <c r="H62">
        <v>726</v>
      </c>
      <c r="I62" s="1">
        <v>0.15</v>
      </c>
      <c r="J62" s="2">
        <v>8639.4</v>
      </c>
    </row>
    <row r="63" spans="1:10" x14ac:dyDescent="0.3">
      <c r="A63" t="s">
        <v>144</v>
      </c>
      <c r="B63" t="s">
        <v>145</v>
      </c>
      <c r="C63" t="s">
        <v>30</v>
      </c>
      <c r="D63" t="s">
        <v>13</v>
      </c>
      <c r="E63" t="s">
        <v>31</v>
      </c>
      <c r="F63" t="s">
        <v>24</v>
      </c>
      <c r="G63">
        <v>5</v>
      </c>
      <c r="H63">
        <v>12769</v>
      </c>
      <c r="I63" s="1">
        <v>0.05</v>
      </c>
      <c r="J63" s="2">
        <v>60652.75</v>
      </c>
    </row>
    <row r="64" spans="1:10" x14ac:dyDescent="0.3">
      <c r="A64" t="s">
        <v>146</v>
      </c>
      <c r="B64" t="s">
        <v>147</v>
      </c>
      <c r="C64" t="s">
        <v>44</v>
      </c>
      <c r="D64" t="s">
        <v>37</v>
      </c>
      <c r="E64" t="s">
        <v>45</v>
      </c>
      <c r="F64" t="s">
        <v>15</v>
      </c>
      <c r="G64">
        <v>6</v>
      </c>
      <c r="H64">
        <v>764</v>
      </c>
      <c r="I64" s="1">
        <v>0</v>
      </c>
      <c r="J64" s="2">
        <v>4584</v>
      </c>
    </row>
    <row r="65" spans="1:10" x14ac:dyDescent="0.3">
      <c r="A65" t="s">
        <v>148</v>
      </c>
      <c r="B65" t="s">
        <v>121</v>
      </c>
      <c r="C65" t="s">
        <v>30</v>
      </c>
      <c r="D65" t="s">
        <v>19</v>
      </c>
      <c r="E65" t="s">
        <v>14</v>
      </c>
      <c r="F65" t="s">
        <v>15</v>
      </c>
      <c r="G65">
        <v>9</v>
      </c>
      <c r="H65">
        <v>2449</v>
      </c>
      <c r="I65" s="1">
        <v>0.1</v>
      </c>
      <c r="J65" s="2">
        <v>19836.900000000001</v>
      </c>
    </row>
    <row r="66" spans="1:10" x14ac:dyDescent="0.3">
      <c r="A66" t="s">
        <v>149</v>
      </c>
      <c r="B66" t="s">
        <v>150</v>
      </c>
      <c r="C66" t="s">
        <v>30</v>
      </c>
      <c r="D66" t="s">
        <v>22</v>
      </c>
      <c r="E66" t="s">
        <v>31</v>
      </c>
      <c r="F66" t="s">
        <v>24</v>
      </c>
      <c r="G66">
        <v>3</v>
      </c>
      <c r="H66">
        <v>12193</v>
      </c>
      <c r="I66" s="1">
        <v>0.1</v>
      </c>
      <c r="J66" s="2">
        <v>32921.1</v>
      </c>
    </row>
    <row r="67" spans="1:10" x14ac:dyDescent="0.3">
      <c r="A67" t="s">
        <v>151</v>
      </c>
      <c r="B67" t="s">
        <v>47</v>
      </c>
      <c r="C67" t="s">
        <v>36</v>
      </c>
      <c r="D67" t="s">
        <v>19</v>
      </c>
      <c r="E67" t="s">
        <v>31</v>
      </c>
      <c r="F67" t="s">
        <v>24</v>
      </c>
      <c r="G67">
        <v>12</v>
      </c>
      <c r="H67">
        <v>12687</v>
      </c>
      <c r="I67" s="1">
        <v>0.15</v>
      </c>
      <c r="J67" s="2">
        <v>129407.4</v>
      </c>
    </row>
    <row r="68" spans="1:10" x14ac:dyDescent="0.3">
      <c r="A68" t="s">
        <v>152</v>
      </c>
      <c r="B68" t="s">
        <v>127</v>
      </c>
      <c r="C68" t="s">
        <v>48</v>
      </c>
      <c r="D68" t="s">
        <v>22</v>
      </c>
      <c r="E68" t="s">
        <v>45</v>
      </c>
      <c r="F68" t="s">
        <v>15</v>
      </c>
      <c r="G68">
        <v>15</v>
      </c>
      <c r="H68">
        <v>812</v>
      </c>
      <c r="I68" s="1">
        <v>0.1</v>
      </c>
      <c r="J68" s="2">
        <v>10962</v>
      </c>
    </row>
    <row r="69" spans="1:10" x14ac:dyDescent="0.3">
      <c r="A69" t="s">
        <v>153</v>
      </c>
      <c r="B69" t="s">
        <v>154</v>
      </c>
      <c r="C69" t="s">
        <v>18</v>
      </c>
      <c r="D69" t="s">
        <v>19</v>
      </c>
      <c r="E69" t="s">
        <v>23</v>
      </c>
      <c r="F69" t="s">
        <v>24</v>
      </c>
      <c r="G69">
        <v>9</v>
      </c>
      <c r="H69">
        <v>48830</v>
      </c>
      <c r="I69" s="1">
        <v>0.05</v>
      </c>
      <c r="J69" s="2">
        <v>417496.5</v>
      </c>
    </row>
    <row r="70" spans="1:10" x14ac:dyDescent="0.3">
      <c r="A70" t="s">
        <v>155</v>
      </c>
      <c r="B70" t="s">
        <v>156</v>
      </c>
      <c r="C70" t="s">
        <v>30</v>
      </c>
      <c r="D70" t="s">
        <v>37</v>
      </c>
      <c r="E70" t="s">
        <v>14</v>
      </c>
      <c r="F70" t="s">
        <v>15</v>
      </c>
      <c r="G70">
        <v>15</v>
      </c>
      <c r="H70">
        <v>2415</v>
      </c>
      <c r="I70" s="1">
        <v>0.1</v>
      </c>
      <c r="J70" s="2">
        <v>32602.5</v>
      </c>
    </row>
    <row r="71" spans="1:10" x14ac:dyDescent="0.3">
      <c r="A71" t="s">
        <v>157</v>
      </c>
      <c r="B71" t="s">
        <v>107</v>
      </c>
      <c r="C71" t="s">
        <v>48</v>
      </c>
      <c r="D71" t="s">
        <v>37</v>
      </c>
      <c r="E71" t="s">
        <v>38</v>
      </c>
      <c r="F71" t="s">
        <v>24</v>
      </c>
      <c r="G71">
        <v>5</v>
      </c>
      <c r="H71">
        <v>15500</v>
      </c>
      <c r="I71" s="1">
        <v>0.1</v>
      </c>
      <c r="J71" s="2">
        <v>69750</v>
      </c>
    </row>
    <row r="72" spans="1:10" x14ac:dyDescent="0.3">
      <c r="A72" t="s">
        <v>158</v>
      </c>
      <c r="B72" t="s">
        <v>159</v>
      </c>
      <c r="C72" t="s">
        <v>48</v>
      </c>
      <c r="D72" t="s">
        <v>13</v>
      </c>
      <c r="E72" t="s">
        <v>38</v>
      </c>
      <c r="F72" t="s">
        <v>24</v>
      </c>
      <c r="G72">
        <v>3</v>
      </c>
      <c r="H72">
        <v>14075</v>
      </c>
      <c r="I72" s="1">
        <v>0.15</v>
      </c>
      <c r="J72" s="2">
        <v>35891.25</v>
      </c>
    </row>
    <row r="73" spans="1:10" x14ac:dyDescent="0.3">
      <c r="A73" t="s">
        <v>160</v>
      </c>
      <c r="B73" t="s">
        <v>161</v>
      </c>
      <c r="C73" t="s">
        <v>44</v>
      </c>
      <c r="D73" t="s">
        <v>13</v>
      </c>
      <c r="E73" t="s">
        <v>38</v>
      </c>
      <c r="F73" t="s">
        <v>24</v>
      </c>
      <c r="G73">
        <v>10</v>
      </c>
      <c r="H73">
        <v>14402</v>
      </c>
      <c r="I73" s="1">
        <v>0</v>
      </c>
      <c r="J73" s="2">
        <v>144020</v>
      </c>
    </row>
    <row r="74" spans="1:10" x14ac:dyDescent="0.3">
      <c r="A74" t="s">
        <v>162</v>
      </c>
      <c r="B74" t="s">
        <v>163</v>
      </c>
      <c r="C74" t="s">
        <v>18</v>
      </c>
      <c r="D74" t="s">
        <v>22</v>
      </c>
      <c r="E74" t="s">
        <v>45</v>
      </c>
      <c r="F74" t="s">
        <v>15</v>
      </c>
      <c r="G74">
        <v>13</v>
      </c>
      <c r="H74">
        <v>812</v>
      </c>
      <c r="I74" s="1">
        <v>0.1</v>
      </c>
      <c r="J74" s="2">
        <v>9500.4</v>
      </c>
    </row>
    <row r="75" spans="1:10" x14ac:dyDescent="0.3">
      <c r="A75" t="s">
        <v>164</v>
      </c>
      <c r="B75" t="s">
        <v>165</v>
      </c>
      <c r="C75" t="s">
        <v>30</v>
      </c>
      <c r="D75" t="s">
        <v>37</v>
      </c>
      <c r="E75" t="s">
        <v>14</v>
      </c>
      <c r="F75" t="s">
        <v>15</v>
      </c>
      <c r="G75">
        <v>4</v>
      </c>
      <c r="H75">
        <v>2505</v>
      </c>
      <c r="I75" s="1">
        <v>0.05</v>
      </c>
      <c r="J75" s="2">
        <v>9519</v>
      </c>
    </row>
    <row r="76" spans="1:10" x14ac:dyDescent="0.3">
      <c r="A76" t="s">
        <v>166</v>
      </c>
      <c r="B76" t="s">
        <v>97</v>
      </c>
      <c r="C76" t="s">
        <v>12</v>
      </c>
      <c r="D76" t="s">
        <v>37</v>
      </c>
      <c r="E76" t="s">
        <v>38</v>
      </c>
      <c r="F76" t="s">
        <v>24</v>
      </c>
      <c r="G76">
        <v>11</v>
      </c>
      <c r="H76">
        <v>15398</v>
      </c>
      <c r="I76" s="1">
        <v>0.1</v>
      </c>
      <c r="J76" s="2">
        <v>152440.20000000001</v>
      </c>
    </row>
    <row r="77" spans="1:10" x14ac:dyDescent="0.3">
      <c r="A77" t="s">
        <v>167</v>
      </c>
      <c r="B77" t="s">
        <v>127</v>
      </c>
      <c r="C77" t="s">
        <v>12</v>
      </c>
      <c r="D77" t="s">
        <v>22</v>
      </c>
      <c r="E77" t="s">
        <v>27</v>
      </c>
      <c r="F77" t="s">
        <v>15</v>
      </c>
      <c r="G77">
        <v>13</v>
      </c>
      <c r="H77">
        <v>1409</v>
      </c>
      <c r="I77" s="1">
        <v>0</v>
      </c>
      <c r="J77" s="2">
        <v>18317</v>
      </c>
    </row>
    <row r="78" spans="1:10" x14ac:dyDescent="0.3">
      <c r="A78" t="s">
        <v>168</v>
      </c>
      <c r="B78" t="s">
        <v>169</v>
      </c>
      <c r="C78" t="s">
        <v>48</v>
      </c>
      <c r="D78" t="s">
        <v>13</v>
      </c>
      <c r="E78" t="s">
        <v>38</v>
      </c>
      <c r="F78" t="s">
        <v>24</v>
      </c>
      <c r="G78">
        <v>14</v>
      </c>
      <c r="H78">
        <v>15805</v>
      </c>
      <c r="I78" s="1">
        <v>0.15</v>
      </c>
      <c r="J78" s="2">
        <v>188079.5</v>
      </c>
    </row>
    <row r="79" spans="1:10" x14ac:dyDescent="0.3">
      <c r="A79" t="s">
        <v>170</v>
      </c>
      <c r="B79" t="s">
        <v>11</v>
      </c>
      <c r="C79" t="s">
        <v>12</v>
      </c>
      <c r="D79" t="s">
        <v>19</v>
      </c>
      <c r="E79" t="s">
        <v>14</v>
      </c>
      <c r="F79" t="s">
        <v>15</v>
      </c>
      <c r="G79">
        <v>12</v>
      </c>
      <c r="H79">
        <v>2441</v>
      </c>
      <c r="I79" s="1">
        <v>0.15</v>
      </c>
      <c r="J79" s="2">
        <v>24898.2</v>
      </c>
    </row>
    <row r="80" spans="1:10" x14ac:dyDescent="0.3">
      <c r="A80" t="s">
        <v>171</v>
      </c>
      <c r="B80" t="s">
        <v>172</v>
      </c>
      <c r="C80" t="s">
        <v>48</v>
      </c>
      <c r="D80" t="s">
        <v>22</v>
      </c>
      <c r="E80" t="s">
        <v>23</v>
      </c>
      <c r="F80" t="s">
        <v>24</v>
      </c>
      <c r="G80">
        <v>13</v>
      </c>
      <c r="H80">
        <v>44326</v>
      </c>
      <c r="I80" s="1">
        <v>0.05</v>
      </c>
      <c r="J80" s="2">
        <v>547426.1</v>
      </c>
    </row>
    <row r="81" spans="1:10" x14ac:dyDescent="0.3">
      <c r="A81" t="s">
        <v>173</v>
      </c>
      <c r="B81" t="s">
        <v>174</v>
      </c>
      <c r="C81" t="s">
        <v>12</v>
      </c>
      <c r="D81" t="s">
        <v>22</v>
      </c>
      <c r="E81" t="s">
        <v>23</v>
      </c>
      <c r="F81" t="s">
        <v>24</v>
      </c>
      <c r="G81">
        <v>9</v>
      </c>
      <c r="H81">
        <v>42742</v>
      </c>
      <c r="I81" s="1">
        <v>0</v>
      </c>
      <c r="J81" s="2">
        <v>384678</v>
      </c>
    </row>
    <row r="82" spans="1:10" x14ac:dyDescent="0.3">
      <c r="A82" t="s">
        <v>175</v>
      </c>
      <c r="B82" t="s">
        <v>176</v>
      </c>
      <c r="C82" t="s">
        <v>18</v>
      </c>
      <c r="D82" t="s">
        <v>22</v>
      </c>
      <c r="E82" t="s">
        <v>14</v>
      </c>
      <c r="F82" t="s">
        <v>15</v>
      </c>
      <c r="G82">
        <v>9</v>
      </c>
      <c r="H82">
        <v>2743</v>
      </c>
      <c r="I82" s="1">
        <v>0.1</v>
      </c>
      <c r="J82" s="2">
        <v>22218.3</v>
      </c>
    </row>
    <row r="83" spans="1:10" x14ac:dyDescent="0.3">
      <c r="A83" t="s">
        <v>177</v>
      </c>
      <c r="B83" t="s">
        <v>178</v>
      </c>
      <c r="C83" t="s">
        <v>44</v>
      </c>
      <c r="D83" t="s">
        <v>13</v>
      </c>
      <c r="E83" t="s">
        <v>38</v>
      </c>
      <c r="F83" t="s">
        <v>24</v>
      </c>
      <c r="G83">
        <v>8</v>
      </c>
      <c r="H83">
        <v>16191</v>
      </c>
      <c r="I83" s="1">
        <v>0.15</v>
      </c>
      <c r="J83" s="2">
        <v>110098.8</v>
      </c>
    </row>
    <row r="84" spans="1:10" x14ac:dyDescent="0.3">
      <c r="A84" t="s">
        <v>179</v>
      </c>
      <c r="B84" t="s">
        <v>180</v>
      </c>
      <c r="C84" t="s">
        <v>12</v>
      </c>
      <c r="D84" t="s">
        <v>37</v>
      </c>
      <c r="E84" t="s">
        <v>14</v>
      </c>
      <c r="F84" t="s">
        <v>15</v>
      </c>
      <c r="G84">
        <v>5</v>
      </c>
      <c r="H84">
        <v>2632</v>
      </c>
      <c r="I84" s="1">
        <v>0.15</v>
      </c>
      <c r="J84" s="2">
        <v>11186</v>
      </c>
    </row>
    <row r="85" spans="1:10" x14ac:dyDescent="0.3">
      <c r="A85" t="s">
        <v>181</v>
      </c>
      <c r="B85" t="s">
        <v>123</v>
      </c>
      <c r="C85" t="s">
        <v>44</v>
      </c>
      <c r="D85" t="s">
        <v>37</v>
      </c>
      <c r="E85" t="s">
        <v>45</v>
      </c>
      <c r="F85" t="s">
        <v>15</v>
      </c>
      <c r="G85">
        <v>2</v>
      </c>
      <c r="H85">
        <v>834</v>
      </c>
      <c r="I85" s="1">
        <v>0.05</v>
      </c>
      <c r="J85" s="2">
        <v>1584.6</v>
      </c>
    </row>
    <row r="86" spans="1:10" x14ac:dyDescent="0.3">
      <c r="A86" t="s">
        <v>182</v>
      </c>
      <c r="B86" t="s">
        <v>183</v>
      </c>
      <c r="C86" t="s">
        <v>48</v>
      </c>
      <c r="D86" t="s">
        <v>13</v>
      </c>
      <c r="E86" t="s">
        <v>38</v>
      </c>
      <c r="F86" t="s">
        <v>24</v>
      </c>
      <c r="G86">
        <v>2</v>
      </c>
      <c r="H86">
        <v>13915</v>
      </c>
      <c r="I86" s="1">
        <v>0.05</v>
      </c>
      <c r="J86" s="2">
        <v>26438.5</v>
      </c>
    </row>
    <row r="87" spans="1:10" x14ac:dyDescent="0.3">
      <c r="A87" t="s">
        <v>184</v>
      </c>
      <c r="B87" t="s">
        <v>185</v>
      </c>
      <c r="C87" t="s">
        <v>36</v>
      </c>
      <c r="D87" t="s">
        <v>22</v>
      </c>
      <c r="E87" t="s">
        <v>14</v>
      </c>
      <c r="F87" t="s">
        <v>15</v>
      </c>
      <c r="G87">
        <v>4</v>
      </c>
      <c r="H87">
        <v>2282</v>
      </c>
      <c r="I87" s="1">
        <v>0.15</v>
      </c>
      <c r="J87" s="2">
        <v>7758.8</v>
      </c>
    </row>
    <row r="88" spans="1:10" x14ac:dyDescent="0.3">
      <c r="A88" t="s">
        <v>186</v>
      </c>
      <c r="B88" t="s">
        <v>187</v>
      </c>
      <c r="C88" t="s">
        <v>36</v>
      </c>
      <c r="D88" t="s">
        <v>19</v>
      </c>
      <c r="E88" t="s">
        <v>45</v>
      </c>
      <c r="F88" t="s">
        <v>15</v>
      </c>
      <c r="G88">
        <v>1</v>
      </c>
      <c r="H88">
        <v>753</v>
      </c>
      <c r="I88" s="1">
        <v>0.15</v>
      </c>
      <c r="J88" s="2">
        <v>640.04999999999995</v>
      </c>
    </row>
    <row r="89" spans="1:10" x14ac:dyDescent="0.3">
      <c r="A89" t="s">
        <v>188</v>
      </c>
      <c r="B89" t="s">
        <v>189</v>
      </c>
      <c r="C89" t="s">
        <v>18</v>
      </c>
      <c r="D89" t="s">
        <v>22</v>
      </c>
      <c r="E89" t="s">
        <v>38</v>
      </c>
      <c r="F89" t="s">
        <v>24</v>
      </c>
      <c r="G89">
        <v>7</v>
      </c>
      <c r="H89">
        <v>14930</v>
      </c>
      <c r="I89" s="1">
        <v>0.1</v>
      </c>
      <c r="J89" s="2">
        <v>94059</v>
      </c>
    </row>
    <row r="90" spans="1:10" x14ac:dyDescent="0.3">
      <c r="A90" t="s">
        <v>190</v>
      </c>
      <c r="B90" t="s">
        <v>191</v>
      </c>
      <c r="C90" t="s">
        <v>12</v>
      </c>
      <c r="D90" t="s">
        <v>37</v>
      </c>
      <c r="E90" t="s">
        <v>38</v>
      </c>
      <c r="F90" t="s">
        <v>24</v>
      </c>
      <c r="G90">
        <v>12</v>
      </c>
      <c r="H90">
        <v>15703</v>
      </c>
      <c r="I90" s="1">
        <v>0.05</v>
      </c>
      <c r="J90" s="2">
        <v>179014.2</v>
      </c>
    </row>
    <row r="91" spans="1:10" x14ac:dyDescent="0.3">
      <c r="A91" t="s">
        <v>192</v>
      </c>
      <c r="B91" t="s">
        <v>86</v>
      </c>
      <c r="C91" t="s">
        <v>48</v>
      </c>
      <c r="D91" t="s">
        <v>22</v>
      </c>
      <c r="E91" t="s">
        <v>45</v>
      </c>
      <c r="F91" t="s">
        <v>15</v>
      </c>
      <c r="G91">
        <v>8</v>
      </c>
      <c r="H91">
        <v>724</v>
      </c>
      <c r="I91" s="1">
        <v>0.1</v>
      </c>
      <c r="J91" s="2">
        <v>5212.8</v>
      </c>
    </row>
    <row r="92" spans="1:10" x14ac:dyDescent="0.3">
      <c r="A92" t="s">
        <v>193</v>
      </c>
      <c r="B92" t="s">
        <v>194</v>
      </c>
      <c r="C92" t="s">
        <v>36</v>
      </c>
      <c r="D92" t="s">
        <v>19</v>
      </c>
      <c r="E92" t="s">
        <v>14</v>
      </c>
      <c r="F92" t="s">
        <v>15</v>
      </c>
      <c r="G92">
        <v>3</v>
      </c>
      <c r="H92">
        <v>2670</v>
      </c>
      <c r="I92" s="1">
        <v>0.05</v>
      </c>
      <c r="J92" s="2">
        <v>7609.5</v>
      </c>
    </row>
    <row r="93" spans="1:10" x14ac:dyDescent="0.3">
      <c r="A93" t="s">
        <v>195</v>
      </c>
      <c r="B93" t="s">
        <v>76</v>
      </c>
      <c r="C93" t="s">
        <v>48</v>
      </c>
      <c r="D93" t="s">
        <v>22</v>
      </c>
      <c r="E93" t="s">
        <v>45</v>
      </c>
      <c r="F93" t="s">
        <v>15</v>
      </c>
      <c r="G93">
        <v>10</v>
      </c>
      <c r="H93">
        <v>810</v>
      </c>
      <c r="I93" s="1">
        <v>0</v>
      </c>
      <c r="J93" s="2">
        <v>8100</v>
      </c>
    </row>
    <row r="94" spans="1:10" x14ac:dyDescent="0.3">
      <c r="A94" t="s">
        <v>196</v>
      </c>
      <c r="B94" t="s">
        <v>197</v>
      </c>
      <c r="C94" t="s">
        <v>18</v>
      </c>
      <c r="D94" t="s">
        <v>37</v>
      </c>
      <c r="E94" t="s">
        <v>27</v>
      </c>
      <c r="F94" t="s">
        <v>15</v>
      </c>
      <c r="G94">
        <v>14</v>
      </c>
      <c r="H94">
        <v>1488</v>
      </c>
      <c r="I94" s="1">
        <v>0</v>
      </c>
      <c r="J94" s="2">
        <v>20832</v>
      </c>
    </row>
    <row r="95" spans="1:10" x14ac:dyDescent="0.3">
      <c r="A95" t="s">
        <v>198</v>
      </c>
      <c r="B95" t="s">
        <v>199</v>
      </c>
      <c r="C95" t="s">
        <v>18</v>
      </c>
      <c r="D95" t="s">
        <v>37</v>
      </c>
      <c r="E95" t="s">
        <v>27</v>
      </c>
      <c r="F95" t="s">
        <v>15</v>
      </c>
      <c r="G95">
        <v>8</v>
      </c>
      <c r="H95">
        <v>1448</v>
      </c>
      <c r="I95" s="1">
        <v>0.15</v>
      </c>
      <c r="J95" s="2">
        <v>9846.4</v>
      </c>
    </row>
    <row r="96" spans="1:10" x14ac:dyDescent="0.3">
      <c r="A96" t="s">
        <v>200</v>
      </c>
      <c r="B96" t="s">
        <v>176</v>
      </c>
      <c r="C96" t="s">
        <v>44</v>
      </c>
      <c r="D96" t="s">
        <v>13</v>
      </c>
      <c r="E96" t="s">
        <v>23</v>
      </c>
      <c r="F96" t="s">
        <v>24</v>
      </c>
      <c r="G96">
        <v>8</v>
      </c>
      <c r="H96">
        <v>40674</v>
      </c>
      <c r="I96" s="1">
        <v>0</v>
      </c>
      <c r="J96" s="2">
        <v>325392</v>
      </c>
    </row>
    <row r="97" spans="1:10" x14ac:dyDescent="0.3">
      <c r="A97" t="s">
        <v>201</v>
      </c>
      <c r="B97" t="s">
        <v>202</v>
      </c>
      <c r="C97" t="s">
        <v>30</v>
      </c>
      <c r="D97" t="s">
        <v>13</v>
      </c>
      <c r="E97" t="s">
        <v>14</v>
      </c>
      <c r="F97" t="s">
        <v>15</v>
      </c>
      <c r="G97">
        <v>2</v>
      </c>
      <c r="H97">
        <v>2640</v>
      </c>
      <c r="I97" s="1">
        <v>0</v>
      </c>
      <c r="J97" s="2">
        <v>5280</v>
      </c>
    </row>
    <row r="98" spans="1:10" x14ac:dyDescent="0.3">
      <c r="A98" t="s">
        <v>203</v>
      </c>
      <c r="B98" t="s">
        <v>111</v>
      </c>
      <c r="C98" t="s">
        <v>12</v>
      </c>
      <c r="D98" t="s">
        <v>22</v>
      </c>
      <c r="E98" t="s">
        <v>27</v>
      </c>
      <c r="F98" t="s">
        <v>15</v>
      </c>
      <c r="G98">
        <v>14</v>
      </c>
      <c r="H98">
        <v>1356</v>
      </c>
      <c r="I98" s="1">
        <v>0.05</v>
      </c>
      <c r="J98" s="2">
        <v>18034.8</v>
      </c>
    </row>
    <row r="99" spans="1:10" x14ac:dyDescent="0.3">
      <c r="A99" t="s">
        <v>204</v>
      </c>
      <c r="B99" t="s">
        <v>163</v>
      </c>
      <c r="C99" t="s">
        <v>48</v>
      </c>
      <c r="D99" t="s">
        <v>37</v>
      </c>
      <c r="E99" t="s">
        <v>14</v>
      </c>
      <c r="F99" t="s">
        <v>15</v>
      </c>
      <c r="G99">
        <v>2</v>
      </c>
      <c r="H99">
        <v>2531</v>
      </c>
      <c r="I99" s="1">
        <v>0.05</v>
      </c>
      <c r="J99" s="2">
        <v>4808.8999999999996</v>
      </c>
    </row>
    <row r="100" spans="1:10" x14ac:dyDescent="0.3">
      <c r="A100" t="s">
        <v>205</v>
      </c>
      <c r="B100" t="s">
        <v>206</v>
      </c>
      <c r="C100" t="s">
        <v>12</v>
      </c>
      <c r="D100" t="s">
        <v>37</v>
      </c>
      <c r="E100" t="s">
        <v>31</v>
      </c>
      <c r="F100" t="s">
        <v>24</v>
      </c>
      <c r="G100">
        <v>3</v>
      </c>
      <c r="H100">
        <v>12254</v>
      </c>
      <c r="I100" s="1">
        <v>0</v>
      </c>
      <c r="J100" s="2">
        <v>36762</v>
      </c>
    </row>
    <row r="101" spans="1:10" x14ac:dyDescent="0.3">
      <c r="A101" t="s">
        <v>207</v>
      </c>
      <c r="B101" t="s">
        <v>40</v>
      </c>
      <c r="C101" t="s">
        <v>48</v>
      </c>
      <c r="D101" t="s">
        <v>22</v>
      </c>
      <c r="E101" t="s">
        <v>23</v>
      </c>
      <c r="F101" t="s">
        <v>24</v>
      </c>
      <c r="G101">
        <v>10</v>
      </c>
      <c r="H101">
        <v>40731</v>
      </c>
      <c r="I101" s="1">
        <v>0.1</v>
      </c>
      <c r="J101" s="2">
        <v>366579</v>
      </c>
    </row>
    <row r="102" spans="1:10" x14ac:dyDescent="0.3">
      <c r="A102" t="s">
        <v>208</v>
      </c>
      <c r="B102" t="s">
        <v>29</v>
      </c>
      <c r="C102" t="s">
        <v>48</v>
      </c>
      <c r="D102" t="s">
        <v>37</v>
      </c>
      <c r="E102" t="s">
        <v>45</v>
      </c>
      <c r="F102" t="s">
        <v>15</v>
      </c>
      <c r="G102">
        <v>12</v>
      </c>
      <c r="H102">
        <v>751</v>
      </c>
      <c r="I102" s="1">
        <v>0.05</v>
      </c>
      <c r="J102" s="2">
        <v>8561.4</v>
      </c>
    </row>
    <row r="103" spans="1:10" x14ac:dyDescent="0.3">
      <c r="A103" t="s">
        <v>209</v>
      </c>
      <c r="B103" t="s">
        <v>210</v>
      </c>
      <c r="C103" t="s">
        <v>36</v>
      </c>
      <c r="D103" t="s">
        <v>22</v>
      </c>
      <c r="E103" t="s">
        <v>14</v>
      </c>
      <c r="F103" t="s">
        <v>15</v>
      </c>
      <c r="G103">
        <v>10</v>
      </c>
      <c r="H103">
        <v>2652</v>
      </c>
      <c r="I103" s="1">
        <v>0</v>
      </c>
      <c r="J103" s="2">
        <v>26520</v>
      </c>
    </row>
    <row r="104" spans="1:10" x14ac:dyDescent="0.3">
      <c r="A104" t="s">
        <v>211</v>
      </c>
      <c r="B104" t="s">
        <v>212</v>
      </c>
      <c r="C104" t="s">
        <v>18</v>
      </c>
      <c r="D104" t="s">
        <v>22</v>
      </c>
      <c r="E104" t="s">
        <v>14</v>
      </c>
      <c r="F104" t="s">
        <v>15</v>
      </c>
      <c r="G104">
        <v>6</v>
      </c>
      <c r="H104">
        <v>2284</v>
      </c>
      <c r="I104" s="1">
        <v>0.1</v>
      </c>
      <c r="J104" s="2">
        <v>12333.6</v>
      </c>
    </row>
    <row r="105" spans="1:10" x14ac:dyDescent="0.3">
      <c r="A105" t="s">
        <v>213</v>
      </c>
      <c r="B105" t="s">
        <v>214</v>
      </c>
      <c r="C105" t="s">
        <v>12</v>
      </c>
      <c r="D105" t="s">
        <v>22</v>
      </c>
      <c r="E105" t="s">
        <v>23</v>
      </c>
      <c r="F105" t="s">
        <v>24</v>
      </c>
      <c r="G105">
        <v>7</v>
      </c>
      <c r="H105">
        <v>49147</v>
      </c>
      <c r="I105" s="1">
        <v>0.15</v>
      </c>
      <c r="J105" s="2">
        <v>292424.65000000002</v>
      </c>
    </row>
    <row r="106" spans="1:10" x14ac:dyDescent="0.3">
      <c r="A106" t="s">
        <v>215</v>
      </c>
      <c r="B106" t="s">
        <v>216</v>
      </c>
      <c r="C106" t="s">
        <v>36</v>
      </c>
      <c r="D106" t="s">
        <v>22</v>
      </c>
      <c r="E106" t="s">
        <v>27</v>
      </c>
      <c r="F106" t="s">
        <v>15</v>
      </c>
      <c r="G106">
        <v>12</v>
      </c>
      <c r="H106">
        <v>1506</v>
      </c>
      <c r="I106" s="1">
        <v>0.1</v>
      </c>
      <c r="J106" s="2">
        <v>16264.8</v>
      </c>
    </row>
    <row r="107" spans="1:10" x14ac:dyDescent="0.3">
      <c r="A107" t="s">
        <v>217</v>
      </c>
      <c r="B107" t="s">
        <v>218</v>
      </c>
      <c r="C107" t="s">
        <v>12</v>
      </c>
      <c r="D107" t="s">
        <v>19</v>
      </c>
      <c r="E107" t="s">
        <v>45</v>
      </c>
      <c r="F107" t="s">
        <v>15</v>
      </c>
      <c r="G107">
        <v>7</v>
      </c>
      <c r="H107">
        <v>852</v>
      </c>
      <c r="I107" s="1">
        <v>0.1</v>
      </c>
      <c r="J107" s="2">
        <v>5367.6</v>
      </c>
    </row>
    <row r="108" spans="1:10" x14ac:dyDescent="0.3">
      <c r="A108" t="s">
        <v>219</v>
      </c>
      <c r="B108" t="s">
        <v>220</v>
      </c>
      <c r="C108" t="s">
        <v>36</v>
      </c>
      <c r="D108" t="s">
        <v>22</v>
      </c>
      <c r="E108" t="s">
        <v>31</v>
      </c>
      <c r="F108" t="s">
        <v>24</v>
      </c>
      <c r="G108">
        <v>15</v>
      </c>
      <c r="H108">
        <v>11881</v>
      </c>
      <c r="I108" s="1">
        <v>0.15</v>
      </c>
      <c r="J108" s="2">
        <v>151482.75</v>
      </c>
    </row>
    <row r="109" spans="1:10" x14ac:dyDescent="0.3">
      <c r="A109" t="s">
        <v>221</v>
      </c>
      <c r="B109" t="s">
        <v>222</v>
      </c>
      <c r="C109" t="s">
        <v>18</v>
      </c>
      <c r="D109" t="s">
        <v>13</v>
      </c>
      <c r="E109" t="s">
        <v>31</v>
      </c>
      <c r="F109" t="s">
        <v>24</v>
      </c>
      <c r="G109">
        <v>1</v>
      </c>
      <c r="H109">
        <v>11986</v>
      </c>
      <c r="I109" s="1">
        <v>0.1</v>
      </c>
      <c r="J109" s="2">
        <v>10787.4</v>
      </c>
    </row>
    <row r="110" spans="1:10" x14ac:dyDescent="0.3">
      <c r="A110" t="s">
        <v>223</v>
      </c>
      <c r="B110" t="s">
        <v>117</v>
      </c>
      <c r="C110" t="s">
        <v>36</v>
      </c>
      <c r="D110" t="s">
        <v>37</v>
      </c>
      <c r="E110" t="s">
        <v>31</v>
      </c>
      <c r="F110" t="s">
        <v>24</v>
      </c>
      <c r="G110">
        <v>13</v>
      </c>
      <c r="H110">
        <v>11420</v>
      </c>
      <c r="I110" s="1">
        <v>0.1</v>
      </c>
      <c r="J110" s="2">
        <v>133614</v>
      </c>
    </row>
    <row r="111" spans="1:10" x14ac:dyDescent="0.3">
      <c r="A111" t="s">
        <v>224</v>
      </c>
      <c r="B111" t="s">
        <v>76</v>
      </c>
      <c r="C111" t="s">
        <v>12</v>
      </c>
      <c r="D111" t="s">
        <v>22</v>
      </c>
      <c r="E111" t="s">
        <v>38</v>
      </c>
      <c r="F111" t="s">
        <v>24</v>
      </c>
      <c r="G111">
        <v>1</v>
      </c>
      <c r="H111">
        <v>15049</v>
      </c>
      <c r="I111" s="1">
        <v>0.05</v>
      </c>
      <c r="J111" s="2">
        <v>14296.55</v>
      </c>
    </row>
    <row r="112" spans="1:10" x14ac:dyDescent="0.3">
      <c r="A112" t="s">
        <v>225</v>
      </c>
      <c r="B112" t="s">
        <v>226</v>
      </c>
      <c r="C112" t="s">
        <v>48</v>
      </c>
      <c r="D112" t="s">
        <v>22</v>
      </c>
      <c r="E112" t="s">
        <v>45</v>
      </c>
      <c r="F112" t="s">
        <v>15</v>
      </c>
      <c r="G112">
        <v>9</v>
      </c>
      <c r="H112">
        <v>841</v>
      </c>
      <c r="I112" s="1">
        <v>0.15</v>
      </c>
      <c r="J112" s="2">
        <v>6433.65</v>
      </c>
    </row>
    <row r="113" spans="1:10" x14ac:dyDescent="0.3">
      <c r="A113" t="s">
        <v>227</v>
      </c>
      <c r="B113" t="s">
        <v>143</v>
      </c>
      <c r="C113" t="s">
        <v>18</v>
      </c>
      <c r="D113" t="s">
        <v>13</v>
      </c>
      <c r="E113" t="s">
        <v>45</v>
      </c>
      <c r="F113" t="s">
        <v>15</v>
      </c>
      <c r="G113">
        <v>13</v>
      </c>
      <c r="H113">
        <v>722</v>
      </c>
      <c r="I113" s="1">
        <v>0.1</v>
      </c>
      <c r="J113" s="2">
        <v>8447.4</v>
      </c>
    </row>
    <row r="114" spans="1:10" x14ac:dyDescent="0.3">
      <c r="A114" t="s">
        <v>228</v>
      </c>
      <c r="B114" t="s">
        <v>229</v>
      </c>
      <c r="C114" t="s">
        <v>36</v>
      </c>
      <c r="D114" t="s">
        <v>37</v>
      </c>
      <c r="E114" t="s">
        <v>31</v>
      </c>
      <c r="F114" t="s">
        <v>24</v>
      </c>
      <c r="G114">
        <v>11</v>
      </c>
      <c r="H114">
        <v>12195</v>
      </c>
      <c r="I114" s="1">
        <v>0.15</v>
      </c>
      <c r="J114" s="2">
        <v>114023.25</v>
      </c>
    </row>
    <row r="115" spans="1:10" x14ac:dyDescent="0.3">
      <c r="A115" t="s">
        <v>230</v>
      </c>
      <c r="B115" t="s">
        <v>231</v>
      </c>
      <c r="C115" t="s">
        <v>18</v>
      </c>
      <c r="D115" t="s">
        <v>37</v>
      </c>
      <c r="E115" t="s">
        <v>45</v>
      </c>
      <c r="F115" t="s">
        <v>15</v>
      </c>
      <c r="G115">
        <v>12</v>
      </c>
      <c r="H115">
        <v>808</v>
      </c>
      <c r="I115" s="1">
        <v>0.1</v>
      </c>
      <c r="J115" s="2">
        <v>8726.4</v>
      </c>
    </row>
    <row r="116" spans="1:10" x14ac:dyDescent="0.3">
      <c r="A116" t="s">
        <v>232</v>
      </c>
      <c r="B116" t="s">
        <v>113</v>
      </c>
      <c r="C116" t="s">
        <v>30</v>
      </c>
      <c r="D116" t="s">
        <v>13</v>
      </c>
      <c r="E116" t="s">
        <v>31</v>
      </c>
      <c r="F116" t="s">
        <v>24</v>
      </c>
      <c r="G116">
        <v>5</v>
      </c>
      <c r="H116">
        <v>11353</v>
      </c>
      <c r="I116" s="1">
        <v>0.05</v>
      </c>
      <c r="J116" s="2">
        <v>53926.75</v>
      </c>
    </row>
    <row r="117" spans="1:10" x14ac:dyDescent="0.3">
      <c r="A117" t="s">
        <v>233</v>
      </c>
      <c r="B117" t="s">
        <v>234</v>
      </c>
      <c r="C117" t="s">
        <v>36</v>
      </c>
      <c r="D117" t="s">
        <v>37</v>
      </c>
      <c r="E117" t="s">
        <v>27</v>
      </c>
      <c r="F117" t="s">
        <v>15</v>
      </c>
      <c r="G117">
        <v>4</v>
      </c>
      <c r="H117">
        <v>1571</v>
      </c>
      <c r="I117" s="1">
        <v>0.1</v>
      </c>
      <c r="J117" s="2">
        <v>5655.6</v>
      </c>
    </row>
    <row r="118" spans="1:10" x14ac:dyDescent="0.3">
      <c r="A118" t="s">
        <v>235</v>
      </c>
      <c r="B118" t="s">
        <v>236</v>
      </c>
      <c r="C118" t="s">
        <v>12</v>
      </c>
      <c r="D118" t="s">
        <v>37</v>
      </c>
      <c r="E118" t="s">
        <v>23</v>
      </c>
      <c r="F118" t="s">
        <v>24</v>
      </c>
      <c r="G118">
        <v>14</v>
      </c>
      <c r="H118">
        <v>42247</v>
      </c>
      <c r="I118" s="1">
        <v>0.05</v>
      </c>
      <c r="J118" s="2">
        <v>561885.1</v>
      </c>
    </row>
    <row r="119" spans="1:10" x14ac:dyDescent="0.3">
      <c r="A119" t="s">
        <v>237</v>
      </c>
      <c r="B119" t="s">
        <v>127</v>
      </c>
      <c r="C119" t="s">
        <v>30</v>
      </c>
      <c r="D119" t="s">
        <v>37</v>
      </c>
      <c r="E119" t="s">
        <v>23</v>
      </c>
      <c r="F119" t="s">
        <v>24</v>
      </c>
      <c r="G119">
        <v>12</v>
      </c>
      <c r="H119">
        <v>45307</v>
      </c>
      <c r="I119" s="1">
        <v>0.1</v>
      </c>
      <c r="J119" s="2">
        <v>489315.6</v>
      </c>
    </row>
    <row r="120" spans="1:10" x14ac:dyDescent="0.3">
      <c r="A120" t="s">
        <v>238</v>
      </c>
      <c r="B120" t="s">
        <v>29</v>
      </c>
      <c r="C120" t="s">
        <v>30</v>
      </c>
      <c r="D120" t="s">
        <v>37</v>
      </c>
      <c r="E120" t="s">
        <v>14</v>
      </c>
      <c r="F120" t="s">
        <v>15</v>
      </c>
      <c r="G120">
        <v>3</v>
      </c>
      <c r="H120">
        <v>2568</v>
      </c>
      <c r="I120" s="1">
        <v>0.15</v>
      </c>
      <c r="J120" s="2">
        <v>6548.4</v>
      </c>
    </row>
    <row r="121" spans="1:10" x14ac:dyDescent="0.3">
      <c r="A121" t="s">
        <v>239</v>
      </c>
      <c r="B121" t="s">
        <v>240</v>
      </c>
      <c r="C121" t="s">
        <v>44</v>
      </c>
      <c r="D121" t="s">
        <v>22</v>
      </c>
      <c r="E121" t="s">
        <v>45</v>
      </c>
      <c r="F121" t="s">
        <v>15</v>
      </c>
      <c r="G121">
        <v>8</v>
      </c>
      <c r="H121">
        <v>790</v>
      </c>
      <c r="I121" s="1">
        <v>0.05</v>
      </c>
      <c r="J121" s="2">
        <v>6004</v>
      </c>
    </row>
    <row r="122" spans="1:10" x14ac:dyDescent="0.3">
      <c r="A122" t="s">
        <v>241</v>
      </c>
      <c r="B122" t="s">
        <v>115</v>
      </c>
      <c r="C122" t="s">
        <v>36</v>
      </c>
      <c r="D122" t="s">
        <v>19</v>
      </c>
      <c r="E122" t="s">
        <v>23</v>
      </c>
      <c r="F122" t="s">
        <v>24</v>
      </c>
      <c r="G122">
        <v>14</v>
      </c>
      <c r="H122">
        <v>41088</v>
      </c>
      <c r="I122" s="1">
        <v>0.15</v>
      </c>
      <c r="J122" s="2">
        <v>488947.20000000001</v>
      </c>
    </row>
    <row r="123" spans="1:10" x14ac:dyDescent="0.3">
      <c r="A123" t="s">
        <v>242</v>
      </c>
      <c r="B123" t="s">
        <v>76</v>
      </c>
      <c r="C123" t="s">
        <v>12</v>
      </c>
      <c r="D123" t="s">
        <v>19</v>
      </c>
      <c r="E123" t="s">
        <v>27</v>
      </c>
      <c r="F123" t="s">
        <v>15</v>
      </c>
      <c r="G123">
        <v>3</v>
      </c>
      <c r="H123">
        <v>1593</v>
      </c>
      <c r="I123" s="1">
        <v>0.1</v>
      </c>
      <c r="J123" s="2">
        <v>4301.1000000000004</v>
      </c>
    </row>
    <row r="124" spans="1:10" x14ac:dyDescent="0.3">
      <c r="A124" t="s">
        <v>243</v>
      </c>
      <c r="B124" t="s">
        <v>244</v>
      </c>
      <c r="C124" t="s">
        <v>36</v>
      </c>
      <c r="D124" t="s">
        <v>22</v>
      </c>
      <c r="E124" t="s">
        <v>38</v>
      </c>
      <c r="F124" t="s">
        <v>24</v>
      </c>
      <c r="G124">
        <v>13</v>
      </c>
      <c r="H124">
        <v>14748</v>
      </c>
      <c r="I124" s="1">
        <v>0.05</v>
      </c>
      <c r="J124" s="2">
        <v>182137.8</v>
      </c>
    </row>
    <row r="125" spans="1:10" x14ac:dyDescent="0.3">
      <c r="A125" t="s">
        <v>245</v>
      </c>
      <c r="B125" t="s">
        <v>246</v>
      </c>
      <c r="C125" t="s">
        <v>36</v>
      </c>
      <c r="D125" t="s">
        <v>19</v>
      </c>
      <c r="E125" t="s">
        <v>45</v>
      </c>
      <c r="F125" t="s">
        <v>15</v>
      </c>
      <c r="G125">
        <v>15</v>
      </c>
      <c r="H125">
        <v>790</v>
      </c>
      <c r="I125" s="1">
        <v>0.15</v>
      </c>
      <c r="J125" s="2">
        <v>10072.5</v>
      </c>
    </row>
    <row r="126" spans="1:10" x14ac:dyDescent="0.3">
      <c r="A126" t="s">
        <v>247</v>
      </c>
      <c r="B126" t="s">
        <v>180</v>
      </c>
      <c r="C126" t="s">
        <v>12</v>
      </c>
      <c r="D126" t="s">
        <v>37</v>
      </c>
      <c r="E126" t="s">
        <v>38</v>
      </c>
      <c r="F126" t="s">
        <v>24</v>
      </c>
      <c r="G126">
        <v>12</v>
      </c>
      <c r="H126">
        <v>13797</v>
      </c>
      <c r="I126" s="1">
        <v>0.05</v>
      </c>
      <c r="J126" s="2">
        <v>157285.79999999999</v>
      </c>
    </row>
    <row r="127" spans="1:10" x14ac:dyDescent="0.3">
      <c r="A127" t="s">
        <v>248</v>
      </c>
      <c r="B127" t="s">
        <v>229</v>
      </c>
      <c r="C127" t="s">
        <v>30</v>
      </c>
      <c r="D127" t="s">
        <v>13</v>
      </c>
      <c r="E127" t="s">
        <v>14</v>
      </c>
      <c r="F127" t="s">
        <v>15</v>
      </c>
      <c r="G127">
        <v>2</v>
      </c>
      <c r="H127">
        <v>2328</v>
      </c>
      <c r="I127" s="1">
        <v>0.05</v>
      </c>
      <c r="J127" s="2">
        <v>4423.2</v>
      </c>
    </row>
    <row r="128" spans="1:10" x14ac:dyDescent="0.3">
      <c r="A128" t="s">
        <v>249</v>
      </c>
      <c r="B128" t="s">
        <v>250</v>
      </c>
      <c r="C128" t="s">
        <v>30</v>
      </c>
      <c r="D128" t="s">
        <v>13</v>
      </c>
      <c r="E128" t="s">
        <v>23</v>
      </c>
      <c r="F128" t="s">
        <v>24</v>
      </c>
      <c r="G128">
        <v>7</v>
      </c>
      <c r="H128">
        <v>44554</v>
      </c>
      <c r="I128" s="1">
        <v>0.15</v>
      </c>
      <c r="J128" s="2">
        <v>265096.3</v>
      </c>
    </row>
    <row r="129" spans="1:10" x14ac:dyDescent="0.3">
      <c r="A129" t="s">
        <v>251</v>
      </c>
      <c r="B129" t="s">
        <v>115</v>
      </c>
      <c r="C129" t="s">
        <v>48</v>
      </c>
      <c r="D129" t="s">
        <v>13</v>
      </c>
      <c r="E129" t="s">
        <v>31</v>
      </c>
      <c r="F129" t="s">
        <v>24</v>
      </c>
      <c r="G129">
        <v>12</v>
      </c>
      <c r="H129">
        <v>11478</v>
      </c>
      <c r="I129" s="1">
        <v>0.15</v>
      </c>
      <c r="J129" s="2">
        <v>117075.6</v>
      </c>
    </row>
    <row r="130" spans="1:10" x14ac:dyDescent="0.3">
      <c r="A130" t="s">
        <v>252</v>
      </c>
      <c r="B130" t="s">
        <v>253</v>
      </c>
      <c r="C130" t="s">
        <v>30</v>
      </c>
      <c r="D130" t="s">
        <v>13</v>
      </c>
      <c r="E130" t="s">
        <v>31</v>
      </c>
      <c r="F130" t="s">
        <v>24</v>
      </c>
      <c r="G130">
        <v>13</v>
      </c>
      <c r="H130">
        <v>12698</v>
      </c>
      <c r="I130" s="1">
        <v>0.05</v>
      </c>
      <c r="J130" s="2">
        <v>156820.29999999999</v>
      </c>
    </row>
    <row r="131" spans="1:10" x14ac:dyDescent="0.3">
      <c r="A131" t="s">
        <v>254</v>
      </c>
      <c r="B131" t="s">
        <v>115</v>
      </c>
      <c r="C131" t="s">
        <v>30</v>
      </c>
      <c r="D131" t="s">
        <v>13</v>
      </c>
      <c r="E131" t="s">
        <v>14</v>
      </c>
      <c r="F131" t="s">
        <v>15</v>
      </c>
      <c r="G131">
        <v>3</v>
      </c>
      <c r="H131">
        <v>2704</v>
      </c>
      <c r="I131" s="1">
        <v>0.05</v>
      </c>
      <c r="J131" s="2">
        <v>7706.4</v>
      </c>
    </row>
    <row r="132" spans="1:10" x14ac:dyDescent="0.3">
      <c r="A132" t="s">
        <v>255</v>
      </c>
      <c r="B132" t="s">
        <v>81</v>
      </c>
      <c r="C132" t="s">
        <v>30</v>
      </c>
      <c r="D132" t="s">
        <v>22</v>
      </c>
      <c r="E132" t="s">
        <v>31</v>
      </c>
      <c r="F132" t="s">
        <v>24</v>
      </c>
      <c r="G132">
        <v>10</v>
      </c>
      <c r="H132">
        <v>12597</v>
      </c>
      <c r="I132" s="1">
        <v>0.1</v>
      </c>
      <c r="J132" s="2">
        <v>113373</v>
      </c>
    </row>
    <row r="133" spans="1:10" x14ac:dyDescent="0.3">
      <c r="A133" t="s">
        <v>256</v>
      </c>
      <c r="B133" t="s">
        <v>257</v>
      </c>
      <c r="C133" t="s">
        <v>36</v>
      </c>
      <c r="D133" t="s">
        <v>22</v>
      </c>
      <c r="E133" t="s">
        <v>14</v>
      </c>
      <c r="F133" t="s">
        <v>15</v>
      </c>
      <c r="G133">
        <v>5</v>
      </c>
      <c r="H133">
        <v>2599</v>
      </c>
      <c r="I133" s="1">
        <v>0.1</v>
      </c>
      <c r="J133" s="2">
        <v>11695.5</v>
      </c>
    </row>
    <row r="134" spans="1:10" x14ac:dyDescent="0.3">
      <c r="A134" t="s">
        <v>258</v>
      </c>
      <c r="B134" t="s">
        <v>139</v>
      </c>
      <c r="C134" t="s">
        <v>44</v>
      </c>
      <c r="D134" t="s">
        <v>37</v>
      </c>
      <c r="E134" t="s">
        <v>45</v>
      </c>
      <c r="F134" t="s">
        <v>15</v>
      </c>
      <c r="G134">
        <v>2</v>
      </c>
      <c r="H134">
        <v>815</v>
      </c>
      <c r="I134" s="1">
        <v>0.15</v>
      </c>
      <c r="J134" s="2">
        <v>1385.5</v>
      </c>
    </row>
    <row r="135" spans="1:10" x14ac:dyDescent="0.3">
      <c r="A135" t="s">
        <v>259</v>
      </c>
      <c r="B135" t="s">
        <v>260</v>
      </c>
      <c r="C135" t="s">
        <v>48</v>
      </c>
      <c r="D135" t="s">
        <v>37</v>
      </c>
      <c r="E135" t="s">
        <v>23</v>
      </c>
      <c r="F135" t="s">
        <v>24</v>
      </c>
      <c r="G135">
        <v>2</v>
      </c>
      <c r="H135">
        <v>42560</v>
      </c>
      <c r="I135" s="1">
        <v>0</v>
      </c>
      <c r="J135" s="2">
        <v>85120</v>
      </c>
    </row>
    <row r="136" spans="1:10" x14ac:dyDescent="0.3">
      <c r="A136" t="s">
        <v>261</v>
      </c>
      <c r="B136" t="s">
        <v>262</v>
      </c>
      <c r="C136" t="s">
        <v>36</v>
      </c>
      <c r="D136" t="s">
        <v>22</v>
      </c>
      <c r="E136" t="s">
        <v>38</v>
      </c>
      <c r="F136" t="s">
        <v>24</v>
      </c>
      <c r="G136">
        <v>1</v>
      </c>
      <c r="H136">
        <v>15789</v>
      </c>
      <c r="I136" s="1">
        <v>0.05</v>
      </c>
      <c r="J136" s="2">
        <v>14999.55</v>
      </c>
    </row>
    <row r="137" spans="1:10" x14ac:dyDescent="0.3">
      <c r="A137" t="s">
        <v>263</v>
      </c>
      <c r="B137" t="s">
        <v>264</v>
      </c>
      <c r="C137" t="s">
        <v>18</v>
      </c>
      <c r="D137" t="s">
        <v>19</v>
      </c>
      <c r="E137" t="s">
        <v>31</v>
      </c>
      <c r="F137" t="s">
        <v>24</v>
      </c>
      <c r="G137">
        <v>3</v>
      </c>
      <c r="H137">
        <v>13192</v>
      </c>
      <c r="I137" s="1">
        <v>0.15</v>
      </c>
      <c r="J137" s="2">
        <v>33639.599999999999</v>
      </c>
    </row>
    <row r="138" spans="1:10" x14ac:dyDescent="0.3">
      <c r="A138" t="s">
        <v>265</v>
      </c>
      <c r="B138" t="s">
        <v>86</v>
      </c>
      <c r="C138" t="s">
        <v>30</v>
      </c>
      <c r="D138" t="s">
        <v>13</v>
      </c>
      <c r="E138" t="s">
        <v>45</v>
      </c>
      <c r="F138" t="s">
        <v>15</v>
      </c>
      <c r="G138">
        <v>6</v>
      </c>
      <c r="H138">
        <v>785</v>
      </c>
      <c r="I138" s="1">
        <v>0.1</v>
      </c>
      <c r="J138" s="2">
        <v>4239</v>
      </c>
    </row>
    <row r="139" spans="1:10" x14ac:dyDescent="0.3">
      <c r="A139" t="s">
        <v>266</v>
      </c>
      <c r="B139" t="s">
        <v>156</v>
      </c>
      <c r="C139" t="s">
        <v>18</v>
      </c>
      <c r="D139" t="s">
        <v>19</v>
      </c>
      <c r="E139" t="s">
        <v>31</v>
      </c>
      <c r="F139" t="s">
        <v>24</v>
      </c>
      <c r="G139">
        <v>7</v>
      </c>
      <c r="H139">
        <v>12464</v>
      </c>
      <c r="I139" s="1">
        <v>0.1</v>
      </c>
      <c r="J139" s="2">
        <v>78523.199999999997</v>
      </c>
    </row>
    <row r="140" spans="1:10" x14ac:dyDescent="0.3">
      <c r="A140" t="s">
        <v>267</v>
      </c>
      <c r="B140" t="s">
        <v>268</v>
      </c>
      <c r="C140" t="s">
        <v>18</v>
      </c>
      <c r="D140" t="s">
        <v>19</v>
      </c>
      <c r="E140" t="s">
        <v>45</v>
      </c>
      <c r="F140" t="s">
        <v>15</v>
      </c>
      <c r="G140">
        <v>2</v>
      </c>
      <c r="H140">
        <v>770</v>
      </c>
      <c r="I140" s="1">
        <v>0.1</v>
      </c>
      <c r="J140" s="2">
        <v>1386</v>
      </c>
    </row>
    <row r="141" spans="1:10" x14ac:dyDescent="0.3">
      <c r="A141" t="s">
        <v>269</v>
      </c>
      <c r="B141" t="s">
        <v>240</v>
      </c>
      <c r="C141" t="s">
        <v>12</v>
      </c>
      <c r="D141" t="s">
        <v>37</v>
      </c>
      <c r="E141" t="s">
        <v>14</v>
      </c>
      <c r="F141" t="s">
        <v>15</v>
      </c>
      <c r="G141">
        <v>14</v>
      </c>
      <c r="H141">
        <v>2521</v>
      </c>
      <c r="I141" s="1">
        <v>0.15</v>
      </c>
      <c r="J141" s="2">
        <v>29999.9</v>
      </c>
    </row>
    <row r="142" spans="1:10" x14ac:dyDescent="0.3">
      <c r="A142" t="s">
        <v>270</v>
      </c>
      <c r="B142" t="s">
        <v>26</v>
      </c>
      <c r="C142" t="s">
        <v>30</v>
      </c>
      <c r="D142" t="s">
        <v>13</v>
      </c>
      <c r="E142" t="s">
        <v>38</v>
      </c>
      <c r="F142" t="s">
        <v>24</v>
      </c>
      <c r="G142">
        <v>13</v>
      </c>
      <c r="H142">
        <v>14995</v>
      </c>
      <c r="I142" s="1">
        <v>0.15</v>
      </c>
      <c r="J142" s="2">
        <v>165694.75</v>
      </c>
    </row>
    <row r="143" spans="1:10" x14ac:dyDescent="0.3">
      <c r="A143" t="s">
        <v>271</v>
      </c>
      <c r="B143" t="s">
        <v>81</v>
      </c>
      <c r="C143" t="s">
        <v>48</v>
      </c>
      <c r="D143" t="s">
        <v>22</v>
      </c>
      <c r="E143" t="s">
        <v>31</v>
      </c>
      <c r="F143" t="s">
        <v>24</v>
      </c>
      <c r="G143">
        <v>9</v>
      </c>
      <c r="H143">
        <v>11114</v>
      </c>
      <c r="I143" s="1">
        <v>0.1</v>
      </c>
      <c r="J143" s="2">
        <v>90023.4</v>
      </c>
    </row>
    <row r="144" spans="1:10" x14ac:dyDescent="0.3">
      <c r="A144" t="s">
        <v>272</v>
      </c>
      <c r="B144" t="s">
        <v>214</v>
      </c>
      <c r="C144" t="s">
        <v>12</v>
      </c>
      <c r="D144" t="s">
        <v>37</v>
      </c>
      <c r="E144" t="s">
        <v>23</v>
      </c>
      <c r="F144" t="s">
        <v>24</v>
      </c>
      <c r="G144">
        <v>1</v>
      </c>
      <c r="H144">
        <v>49258</v>
      </c>
      <c r="I144" s="1">
        <v>0.05</v>
      </c>
      <c r="J144" s="2">
        <v>46795.1</v>
      </c>
    </row>
    <row r="145" spans="1:10" x14ac:dyDescent="0.3">
      <c r="A145" t="s">
        <v>273</v>
      </c>
      <c r="B145" t="s">
        <v>145</v>
      </c>
      <c r="C145" t="s">
        <v>30</v>
      </c>
      <c r="D145" t="s">
        <v>22</v>
      </c>
      <c r="E145" t="s">
        <v>38</v>
      </c>
      <c r="F145" t="s">
        <v>24</v>
      </c>
      <c r="G145">
        <v>1</v>
      </c>
      <c r="H145">
        <v>15156</v>
      </c>
      <c r="I145" s="1">
        <v>0</v>
      </c>
      <c r="J145" s="2">
        <v>15156</v>
      </c>
    </row>
    <row r="146" spans="1:10" x14ac:dyDescent="0.3">
      <c r="A146" t="s">
        <v>274</v>
      </c>
      <c r="B146" t="s">
        <v>275</v>
      </c>
      <c r="C146" t="s">
        <v>48</v>
      </c>
      <c r="D146" t="s">
        <v>37</v>
      </c>
      <c r="E146" t="s">
        <v>23</v>
      </c>
      <c r="F146" t="s">
        <v>24</v>
      </c>
      <c r="G146">
        <v>11</v>
      </c>
      <c r="H146">
        <v>47989</v>
      </c>
      <c r="I146" s="1">
        <v>0.15</v>
      </c>
      <c r="J146" s="2">
        <v>448697.15</v>
      </c>
    </row>
    <row r="147" spans="1:10" x14ac:dyDescent="0.3">
      <c r="A147" t="s">
        <v>276</v>
      </c>
      <c r="B147" t="s">
        <v>262</v>
      </c>
      <c r="C147" t="s">
        <v>12</v>
      </c>
      <c r="D147" t="s">
        <v>22</v>
      </c>
      <c r="E147" t="s">
        <v>38</v>
      </c>
      <c r="F147" t="s">
        <v>24</v>
      </c>
      <c r="G147">
        <v>12</v>
      </c>
      <c r="H147">
        <v>14320</v>
      </c>
      <c r="I147" s="1">
        <v>0.15</v>
      </c>
      <c r="J147" s="2">
        <v>146064</v>
      </c>
    </row>
    <row r="148" spans="1:10" x14ac:dyDescent="0.3">
      <c r="A148" t="s">
        <v>277</v>
      </c>
      <c r="B148" t="s">
        <v>278</v>
      </c>
      <c r="C148" t="s">
        <v>30</v>
      </c>
      <c r="D148" t="s">
        <v>37</v>
      </c>
      <c r="E148" t="s">
        <v>38</v>
      </c>
      <c r="F148" t="s">
        <v>24</v>
      </c>
      <c r="G148">
        <v>3</v>
      </c>
      <c r="H148">
        <v>14650</v>
      </c>
      <c r="I148" s="1">
        <v>0.05</v>
      </c>
      <c r="J148" s="2">
        <v>41752.5</v>
      </c>
    </row>
    <row r="149" spans="1:10" x14ac:dyDescent="0.3">
      <c r="A149" t="s">
        <v>279</v>
      </c>
      <c r="B149" t="s">
        <v>280</v>
      </c>
      <c r="C149" t="s">
        <v>30</v>
      </c>
      <c r="D149" t="s">
        <v>37</v>
      </c>
      <c r="E149" t="s">
        <v>45</v>
      </c>
      <c r="F149" t="s">
        <v>15</v>
      </c>
      <c r="G149">
        <v>6</v>
      </c>
      <c r="H149">
        <v>869</v>
      </c>
      <c r="I149" s="1">
        <v>0.1</v>
      </c>
      <c r="J149" s="2">
        <v>4692.6000000000004</v>
      </c>
    </row>
    <row r="150" spans="1:10" x14ac:dyDescent="0.3">
      <c r="A150" t="s">
        <v>281</v>
      </c>
      <c r="B150" t="s">
        <v>278</v>
      </c>
      <c r="C150" t="s">
        <v>12</v>
      </c>
      <c r="D150" t="s">
        <v>22</v>
      </c>
      <c r="E150" t="s">
        <v>14</v>
      </c>
      <c r="F150" t="s">
        <v>15</v>
      </c>
      <c r="G150">
        <v>5</v>
      </c>
      <c r="H150">
        <v>2668</v>
      </c>
      <c r="I150" s="1">
        <v>0.15</v>
      </c>
      <c r="J150" s="2">
        <v>11339</v>
      </c>
    </row>
    <row r="151" spans="1:10" x14ac:dyDescent="0.3">
      <c r="A151" t="s">
        <v>282</v>
      </c>
      <c r="B151" t="s">
        <v>174</v>
      </c>
      <c r="C151" t="s">
        <v>44</v>
      </c>
      <c r="D151" t="s">
        <v>13</v>
      </c>
      <c r="E151" t="s">
        <v>38</v>
      </c>
      <c r="F151" t="s">
        <v>24</v>
      </c>
      <c r="G151">
        <v>8</v>
      </c>
      <c r="H151">
        <v>14535</v>
      </c>
      <c r="I151" s="1">
        <v>0.15</v>
      </c>
      <c r="J151" s="2">
        <v>98838</v>
      </c>
    </row>
    <row r="152" spans="1:10" x14ac:dyDescent="0.3">
      <c r="A152" t="s">
        <v>283</v>
      </c>
      <c r="B152" t="s">
        <v>284</v>
      </c>
      <c r="C152" t="s">
        <v>18</v>
      </c>
      <c r="D152" t="s">
        <v>19</v>
      </c>
      <c r="E152" t="s">
        <v>14</v>
      </c>
      <c r="F152" t="s">
        <v>15</v>
      </c>
      <c r="G152">
        <v>4</v>
      </c>
      <c r="H152">
        <v>2535</v>
      </c>
      <c r="I152" s="1">
        <v>0.05</v>
      </c>
      <c r="J152" s="2">
        <v>9633</v>
      </c>
    </row>
    <row r="153" spans="1:10" x14ac:dyDescent="0.3">
      <c r="A153" t="s">
        <v>285</v>
      </c>
      <c r="B153" t="s">
        <v>183</v>
      </c>
      <c r="C153" t="s">
        <v>48</v>
      </c>
      <c r="D153" t="s">
        <v>13</v>
      </c>
      <c r="E153" t="s">
        <v>31</v>
      </c>
      <c r="F153" t="s">
        <v>24</v>
      </c>
      <c r="G153">
        <v>12</v>
      </c>
      <c r="H153">
        <v>11935</v>
      </c>
      <c r="I153" s="1">
        <v>0.15</v>
      </c>
      <c r="J153" s="2">
        <v>121737</v>
      </c>
    </row>
    <row r="154" spans="1:10" x14ac:dyDescent="0.3">
      <c r="A154" t="s">
        <v>286</v>
      </c>
      <c r="B154" t="s">
        <v>70</v>
      </c>
      <c r="C154" t="s">
        <v>30</v>
      </c>
      <c r="D154" t="s">
        <v>22</v>
      </c>
      <c r="E154" t="s">
        <v>45</v>
      </c>
      <c r="F154" t="s">
        <v>15</v>
      </c>
      <c r="G154">
        <v>1</v>
      </c>
      <c r="H154">
        <v>740</v>
      </c>
      <c r="I154" s="1">
        <v>0.1</v>
      </c>
      <c r="J154" s="2">
        <v>666</v>
      </c>
    </row>
    <row r="155" spans="1:10" x14ac:dyDescent="0.3">
      <c r="A155" t="s">
        <v>287</v>
      </c>
      <c r="B155" t="s">
        <v>288</v>
      </c>
      <c r="C155" t="s">
        <v>12</v>
      </c>
      <c r="D155" t="s">
        <v>22</v>
      </c>
      <c r="E155" t="s">
        <v>23</v>
      </c>
      <c r="F155" t="s">
        <v>24</v>
      </c>
      <c r="G155">
        <v>9</v>
      </c>
      <c r="H155">
        <v>48693</v>
      </c>
      <c r="I155" s="1">
        <v>0</v>
      </c>
      <c r="J155" s="2">
        <v>438237</v>
      </c>
    </row>
    <row r="156" spans="1:10" x14ac:dyDescent="0.3">
      <c r="A156" t="s">
        <v>289</v>
      </c>
      <c r="B156" t="s">
        <v>290</v>
      </c>
      <c r="C156" t="s">
        <v>36</v>
      </c>
      <c r="D156" t="s">
        <v>22</v>
      </c>
      <c r="E156" t="s">
        <v>14</v>
      </c>
      <c r="F156" t="s">
        <v>15</v>
      </c>
      <c r="G156">
        <v>3</v>
      </c>
      <c r="H156">
        <v>2287</v>
      </c>
      <c r="I156" s="1">
        <v>0.1</v>
      </c>
      <c r="J156" s="2">
        <v>6174.9</v>
      </c>
    </row>
    <row r="157" spans="1:10" x14ac:dyDescent="0.3">
      <c r="A157" t="s">
        <v>291</v>
      </c>
      <c r="B157" t="s">
        <v>292</v>
      </c>
      <c r="C157" t="s">
        <v>48</v>
      </c>
      <c r="D157" t="s">
        <v>22</v>
      </c>
      <c r="E157" t="s">
        <v>14</v>
      </c>
      <c r="F157" t="s">
        <v>15</v>
      </c>
      <c r="G157">
        <v>2</v>
      </c>
      <c r="H157">
        <v>2675</v>
      </c>
      <c r="I157" s="1">
        <v>0.15</v>
      </c>
      <c r="J157" s="2">
        <v>4547.5</v>
      </c>
    </row>
    <row r="158" spans="1:10" x14ac:dyDescent="0.3">
      <c r="A158" t="s">
        <v>293</v>
      </c>
      <c r="B158" t="s">
        <v>294</v>
      </c>
      <c r="C158" t="s">
        <v>48</v>
      </c>
      <c r="D158" t="s">
        <v>37</v>
      </c>
      <c r="E158" t="s">
        <v>38</v>
      </c>
      <c r="F158" t="s">
        <v>24</v>
      </c>
      <c r="G158">
        <v>1</v>
      </c>
      <c r="H158">
        <v>15352</v>
      </c>
      <c r="I158" s="1">
        <v>0.05</v>
      </c>
      <c r="J158" s="2">
        <v>14584.4</v>
      </c>
    </row>
    <row r="159" spans="1:10" x14ac:dyDescent="0.3">
      <c r="A159" t="s">
        <v>295</v>
      </c>
      <c r="B159" t="s">
        <v>26</v>
      </c>
      <c r="C159" t="s">
        <v>48</v>
      </c>
      <c r="D159" t="s">
        <v>19</v>
      </c>
      <c r="E159" t="s">
        <v>27</v>
      </c>
      <c r="F159" t="s">
        <v>15</v>
      </c>
      <c r="G159">
        <v>12</v>
      </c>
      <c r="H159">
        <v>1377</v>
      </c>
      <c r="I159" s="1">
        <v>0</v>
      </c>
      <c r="J159" s="2">
        <v>16524</v>
      </c>
    </row>
    <row r="160" spans="1:10" x14ac:dyDescent="0.3">
      <c r="A160" t="s">
        <v>296</v>
      </c>
      <c r="B160" t="s">
        <v>127</v>
      </c>
      <c r="C160" t="s">
        <v>44</v>
      </c>
      <c r="D160" t="s">
        <v>19</v>
      </c>
      <c r="E160" t="s">
        <v>45</v>
      </c>
      <c r="F160" t="s">
        <v>15</v>
      </c>
      <c r="G160">
        <v>3</v>
      </c>
      <c r="H160">
        <v>831</v>
      </c>
      <c r="I160" s="1">
        <v>0</v>
      </c>
      <c r="J160" s="2">
        <v>2493</v>
      </c>
    </row>
    <row r="161" spans="1:10" x14ac:dyDescent="0.3">
      <c r="A161" t="s">
        <v>297</v>
      </c>
      <c r="B161" t="s">
        <v>11</v>
      </c>
      <c r="C161" t="s">
        <v>36</v>
      </c>
      <c r="D161" t="s">
        <v>22</v>
      </c>
      <c r="E161" t="s">
        <v>31</v>
      </c>
      <c r="F161" t="s">
        <v>24</v>
      </c>
      <c r="G161">
        <v>6</v>
      </c>
      <c r="H161">
        <v>11699</v>
      </c>
      <c r="I161" s="1">
        <v>0.05</v>
      </c>
      <c r="J161" s="2">
        <v>66684.3</v>
      </c>
    </row>
    <row r="162" spans="1:10" x14ac:dyDescent="0.3">
      <c r="A162" t="s">
        <v>298</v>
      </c>
      <c r="B162" t="s">
        <v>299</v>
      </c>
      <c r="C162" t="s">
        <v>30</v>
      </c>
      <c r="D162" t="s">
        <v>22</v>
      </c>
      <c r="E162" t="s">
        <v>38</v>
      </c>
      <c r="F162" t="s">
        <v>24</v>
      </c>
      <c r="G162">
        <v>11</v>
      </c>
      <c r="H162">
        <v>15877</v>
      </c>
      <c r="I162" s="1">
        <v>0.05</v>
      </c>
      <c r="J162" s="2">
        <v>165914.65</v>
      </c>
    </row>
    <row r="163" spans="1:10" x14ac:dyDescent="0.3">
      <c r="A163" t="s">
        <v>300</v>
      </c>
      <c r="B163" t="s">
        <v>301</v>
      </c>
      <c r="C163" t="s">
        <v>18</v>
      </c>
      <c r="D163" t="s">
        <v>37</v>
      </c>
      <c r="E163" t="s">
        <v>38</v>
      </c>
      <c r="F163" t="s">
        <v>24</v>
      </c>
      <c r="G163">
        <v>11</v>
      </c>
      <c r="H163">
        <v>14222</v>
      </c>
      <c r="I163" s="1">
        <v>0.05</v>
      </c>
      <c r="J163" s="2">
        <v>148619.9</v>
      </c>
    </row>
    <row r="164" spans="1:10" x14ac:dyDescent="0.3">
      <c r="A164" t="s">
        <v>302</v>
      </c>
      <c r="B164" t="s">
        <v>303</v>
      </c>
      <c r="C164" t="s">
        <v>44</v>
      </c>
      <c r="D164" t="s">
        <v>13</v>
      </c>
      <c r="E164" t="s">
        <v>45</v>
      </c>
      <c r="F164" t="s">
        <v>15</v>
      </c>
      <c r="G164">
        <v>5</v>
      </c>
      <c r="H164">
        <v>826</v>
      </c>
      <c r="I164" s="1">
        <v>0.15</v>
      </c>
      <c r="J164" s="2">
        <v>3510.5</v>
      </c>
    </row>
    <row r="165" spans="1:10" x14ac:dyDescent="0.3">
      <c r="A165" t="s">
        <v>304</v>
      </c>
      <c r="B165" t="s">
        <v>305</v>
      </c>
      <c r="C165" t="s">
        <v>18</v>
      </c>
      <c r="D165" t="s">
        <v>37</v>
      </c>
      <c r="E165" t="s">
        <v>23</v>
      </c>
      <c r="F165" t="s">
        <v>24</v>
      </c>
      <c r="G165">
        <v>8</v>
      </c>
      <c r="H165">
        <v>49007</v>
      </c>
      <c r="I165" s="1">
        <v>0.1</v>
      </c>
      <c r="J165" s="2">
        <v>352850.4</v>
      </c>
    </row>
    <row r="166" spans="1:10" x14ac:dyDescent="0.3">
      <c r="A166" t="s">
        <v>306</v>
      </c>
      <c r="B166" t="s">
        <v>307</v>
      </c>
      <c r="C166" t="s">
        <v>18</v>
      </c>
      <c r="D166" t="s">
        <v>19</v>
      </c>
      <c r="E166" t="s">
        <v>45</v>
      </c>
      <c r="F166" t="s">
        <v>15</v>
      </c>
      <c r="G166">
        <v>14</v>
      </c>
      <c r="H166">
        <v>768</v>
      </c>
      <c r="I166" s="1">
        <v>0.15</v>
      </c>
      <c r="J166" s="2">
        <v>9139.2000000000007</v>
      </c>
    </row>
    <row r="167" spans="1:10" x14ac:dyDescent="0.3">
      <c r="A167" t="s">
        <v>308</v>
      </c>
      <c r="B167" t="s">
        <v>231</v>
      </c>
      <c r="C167" t="s">
        <v>44</v>
      </c>
      <c r="D167" t="s">
        <v>19</v>
      </c>
      <c r="E167" t="s">
        <v>27</v>
      </c>
      <c r="F167" t="s">
        <v>15</v>
      </c>
      <c r="G167">
        <v>7</v>
      </c>
      <c r="H167">
        <v>1521</v>
      </c>
      <c r="I167" s="1">
        <v>0.1</v>
      </c>
      <c r="J167" s="2">
        <v>9582.2999999999993</v>
      </c>
    </row>
    <row r="168" spans="1:10" x14ac:dyDescent="0.3">
      <c r="A168" t="s">
        <v>309</v>
      </c>
      <c r="B168" t="s">
        <v>310</v>
      </c>
      <c r="C168" t="s">
        <v>36</v>
      </c>
      <c r="D168" t="s">
        <v>22</v>
      </c>
      <c r="E168" t="s">
        <v>14</v>
      </c>
      <c r="F168" t="s">
        <v>15</v>
      </c>
      <c r="G168">
        <v>7</v>
      </c>
      <c r="H168">
        <v>2387</v>
      </c>
      <c r="I168" s="1">
        <v>0</v>
      </c>
      <c r="J168" s="2">
        <v>16709</v>
      </c>
    </row>
    <row r="169" spans="1:10" x14ac:dyDescent="0.3">
      <c r="A169" t="s">
        <v>311</v>
      </c>
      <c r="B169" t="s">
        <v>143</v>
      </c>
      <c r="C169" t="s">
        <v>48</v>
      </c>
      <c r="D169" t="s">
        <v>13</v>
      </c>
      <c r="E169" t="s">
        <v>31</v>
      </c>
      <c r="F169" t="s">
        <v>24</v>
      </c>
      <c r="G169">
        <v>13</v>
      </c>
      <c r="H169">
        <v>12717</v>
      </c>
      <c r="I169" s="1">
        <v>0.1</v>
      </c>
      <c r="J169" s="2">
        <v>148788.9</v>
      </c>
    </row>
    <row r="170" spans="1:10" x14ac:dyDescent="0.3">
      <c r="A170" t="s">
        <v>312</v>
      </c>
      <c r="B170" t="s">
        <v>180</v>
      </c>
      <c r="C170" t="s">
        <v>30</v>
      </c>
      <c r="D170" t="s">
        <v>19</v>
      </c>
      <c r="E170" t="s">
        <v>38</v>
      </c>
      <c r="F170" t="s">
        <v>24</v>
      </c>
      <c r="G170">
        <v>5</v>
      </c>
      <c r="H170">
        <v>15533</v>
      </c>
      <c r="I170" s="1">
        <v>0.05</v>
      </c>
      <c r="J170" s="2">
        <v>73781.75</v>
      </c>
    </row>
    <row r="171" spans="1:10" x14ac:dyDescent="0.3">
      <c r="A171" t="s">
        <v>313</v>
      </c>
      <c r="B171" t="s">
        <v>314</v>
      </c>
      <c r="C171" t="s">
        <v>12</v>
      </c>
      <c r="D171" t="s">
        <v>19</v>
      </c>
      <c r="E171" t="s">
        <v>31</v>
      </c>
      <c r="F171" t="s">
        <v>24</v>
      </c>
      <c r="G171">
        <v>13</v>
      </c>
      <c r="H171">
        <v>11857</v>
      </c>
      <c r="I171" s="1">
        <v>0.1</v>
      </c>
      <c r="J171" s="2">
        <v>138726.9</v>
      </c>
    </row>
    <row r="172" spans="1:10" x14ac:dyDescent="0.3">
      <c r="A172" t="s">
        <v>315</v>
      </c>
      <c r="B172" t="s">
        <v>316</v>
      </c>
      <c r="C172" t="s">
        <v>12</v>
      </c>
      <c r="D172" t="s">
        <v>37</v>
      </c>
      <c r="E172" t="s">
        <v>31</v>
      </c>
      <c r="F172" t="s">
        <v>24</v>
      </c>
      <c r="G172">
        <v>6</v>
      </c>
      <c r="H172">
        <v>12593</v>
      </c>
      <c r="I172" s="1">
        <v>0.05</v>
      </c>
      <c r="J172" s="2">
        <v>71780.100000000006</v>
      </c>
    </row>
    <row r="173" spans="1:10" x14ac:dyDescent="0.3">
      <c r="A173" t="s">
        <v>317</v>
      </c>
      <c r="B173" t="s">
        <v>318</v>
      </c>
      <c r="C173" t="s">
        <v>18</v>
      </c>
      <c r="D173" t="s">
        <v>37</v>
      </c>
      <c r="E173" t="s">
        <v>38</v>
      </c>
      <c r="F173" t="s">
        <v>24</v>
      </c>
      <c r="G173">
        <v>9</v>
      </c>
      <c r="H173">
        <v>16240</v>
      </c>
      <c r="I173" s="1">
        <v>0.05</v>
      </c>
      <c r="J173" s="2">
        <v>138852</v>
      </c>
    </row>
    <row r="174" spans="1:10" x14ac:dyDescent="0.3">
      <c r="A174" t="s">
        <v>319</v>
      </c>
      <c r="B174" t="s">
        <v>163</v>
      </c>
      <c r="C174" t="s">
        <v>30</v>
      </c>
      <c r="D174" t="s">
        <v>13</v>
      </c>
      <c r="E174" t="s">
        <v>14</v>
      </c>
      <c r="F174" t="s">
        <v>15</v>
      </c>
      <c r="G174">
        <v>14</v>
      </c>
      <c r="H174">
        <v>2419</v>
      </c>
      <c r="I174" s="1">
        <v>0</v>
      </c>
      <c r="J174" s="2">
        <v>33866</v>
      </c>
    </row>
    <row r="175" spans="1:10" x14ac:dyDescent="0.3">
      <c r="A175" t="s">
        <v>320</v>
      </c>
      <c r="B175" t="s">
        <v>321</v>
      </c>
      <c r="C175" t="s">
        <v>36</v>
      </c>
      <c r="D175" t="s">
        <v>37</v>
      </c>
      <c r="E175" t="s">
        <v>27</v>
      </c>
      <c r="F175" t="s">
        <v>15</v>
      </c>
      <c r="G175">
        <v>14</v>
      </c>
      <c r="H175">
        <v>1552</v>
      </c>
      <c r="I175" s="1">
        <v>0.15</v>
      </c>
      <c r="J175" s="2">
        <v>18468.8</v>
      </c>
    </row>
    <row r="176" spans="1:10" x14ac:dyDescent="0.3">
      <c r="A176" t="s">
        <v>322</v>
      </c>
      <c r="B176" t="s">
        <v>323</v>
      </c>
      <c r="C176" t="s">
        <v>30</v>
      </c>
      <c r="D176" t="s">
        <v>22</v>
      </c>
      <c r="E176" t="s">
        <v>23</v>
      </c>
      <c r="F176" t="s">
        <v>24</v>
      </c>
      <c r="G176">
        <v>13</v>
      </c>
      <c r="H176">
        <v>44051</v>
      </c>
      <c r="I176" s="1">
        <v>0.1</v>
      </c>
      <c r="J176" s="2">
        <v>515396.7</v>
      </c>
    </row>
    <row r="177" spans="1:10" x14ac:dyDescent="0.3">
      <c r="A177" t="s">
        <v>324</v>
      </c>
      <c r="B177" t="s">
        <v>325</v>
      </c>
      <c r="C177" t="s">
        <v>18</v>
      </c>
      <c r="D177" t="s">
        <v>37</v>
      </c>
      <c r="E177" t="s">
        <v>31</v>
      </c>
      <c r="F177" t="s">
        <v>24</v>
      </c>
      <c r="G177">
        <v>11</v>
      </c>
      <c r="H177">
        <v>12597</v>
      </c>
      <c r="I177" s="1">
        <v>0.1</v>
      </c>
      <c r="J177" s="2">
        <v>124710.3</v>
      </c>
    </row>
    <row r="178" spans="1:10" x14ac:dyDescent="0.3">
      <c r="A178" t="s">
        <v>326</v>
      </c>
      <c r="B178" t="s">
        <v>327</v>
      </c>
      <c r="C178" t="s">
        <v>36</v>
      </c>
      <c r="D178" t="s">
        <v>37</v>
      </c>
      <c r="E178" t="s">
        <v>23</v>
      </c>
      <c r="F178" t="s">
        <v>24</v>
      </c>
      <c r="G178">
        <v>11</v>
      </c>
      <c r="H178">
        <v>42604</v>
      </c>
      <c r="I178" s="1">
        <v>0</v>
      </c>
      <c r="J178" s="2">
        <v>468644</v>
      </c>
    </row>
    <row r="179" spans="1:10" x14ac:dyDescent="0.3">
      <c r="A179" t="s">
        <v>328</v>
      </c>
      <c r="B179" t="s">
        <v>329</v>
      </c>
      <c r="C179" t="s">
        <v>48</v>
      </c>
      <c r="D179" t="s">
        <v>37</v>
      </c>
      <c r="E179" t="s">
        <v>38</v>
      </c>
      <c r="F179" t="s">
        <v>24</v>
      </c>
      <c r="G179">
        <v>4</v>
      </c>
      <c r="H179">
        <v>15442</v>
      </c>
      <c r="I179" s="1">
        <v>0.15</v>
      </c>
      <c r="J179" s="2">
        <v>52502.8</v>
      </c>
    </row>
    <row r="180" spans="1:10" x14ac:dyDescent="0.3">
      <c r="A180" t="s">
        <v>330</v>
      </c>
      <c r="B180" t="s">
        <v>331</v>
      </c>
      <c r="C180" t="s">
        <v>30</v>
      </c>
      <c r="D180" t="s">
        <v>37</v>
      </c>
      <c r="E180" t="s">
        <v>14</v>
      </c>
      <c r="F180" t="s">
        <v>15</v>
      </c>
      <c r="G180">
        <v>7</v>
      </c>
      <c r="H180">
        <v>2308</v>
      </c>
      <c r="I180" s="1">
        <v>0</v>
      </c>
      <c r="J180" s="2">
        <v>16156</v>
      </c>
    </row>
    <row r="181" spans="1:10" x14ac:dyDescent="0.3">
      <c r="A181" t="s">
        <v>332</v>
      </c>
      <c r="B181" t="s">
        <v>187</v>
      </c>
      <c r="C181" t="s">
        <v>18</v>
      </c>
      <c r="D181" t="s">
        <v>37</v>
      </c>
      <c r="E181" t="s">
        <v>45</v>
      </c>
      <c r="F181" t="s">
        <v>15</v>
      </c>
      <c r="G181">
        <v>2</v>
      </c>
      <c r="H181">
        <v>735</v>
      </c>
      <c r="I181" s="1">
        <v>0.05</v>
      </c>
      <c r="J181" s="2">
        <v>1396.5</v>
      </c>
    </row>
    <row r="182" spans="1:10" x14ac:dyDescent="0.3">
      <c r="A182" t="s">
        <v>333</v>
      </c>
      <c r="B182" t="s">
        <v>334</v>
      </c>
      <c r="C182" t="s">
        <v>48</v>
      </c>
      <c r="D182" t="s">
        <v>13</v>
      </c>
      <c r="E182" t="s">
        <v>14</v>
      </c>
      <c r="F182" t="s">
        <v>15</v>
      </c>
      <c r="G182">
        <v>12</v>
      </c>
      <c r="H182">
        <v>2598</v>
      </c>
      <c r="I182" s="1">
        <v>0.15</v>
      </c>
      <c r="J182" s="2">
        <v>26499.599999999999</v>
      </c>
    </row>
    <row r="183" spans="1:10" x14ac:dyDescent="0.3">
      <c r="A183" t="s">
        <v>335</v>
      </c>
      <c r="B183" t="s">
        <v>216</v>
      </c>
      <c r="C183" t="s">
        <v>18</v>
      </c>
      <c r="D183" t="s">
        <v>37</v>
      </c>
      <c r="E183" t="s">
        <v>45</v>
      </c>
      <c r="F183" t="s">
        <v>15</v>
      </c>
      <c r="G183">
        <v>11</v>
      </c>
      <c r="H183">
        <v>735</v>
      </c>
      <c r="I183" s="1">
        <v>0.15</v>
      </c>
      <c r="J183" s="2">
        <v>6872.25</v>
      </c>
    </row>
    <row r="184" spans="1:10" x14ac:dyDescent="0.3">
      <c r="A184" t="s">
        <v>336</v>
      </c>
      <c r="B184" t="s">
        <v>95</v>
      </c>
      <c r="C184" t="s">
        <v>12</v>
      </c>
      <c r="D184" t="s">
        <v>37</v>
      </c>
      <c r="E184" t="s">
        <v>23</v>
      </c>
      <c r="F184" t="s">
        <v>24</v>
      </c>
      <c r="G184">
        <v>12</v>
      </c>
      <c r="H184">
        <v>43834</v>
      </c>
      <c r="I184" s="1">
        <v>0.15</v>
      </c>
      <c r="J184" s="2">
        <v>447106.8</v>
      </c>
    </row>
    <row r="185" spans="1:10" x14ac:dyDescent="0.3">
      <c r="A185" t="s">
        <v>337</v>
      </c>
      <c r="B185" t="s">
        <v>91</v>
      </c>
      <c r="C185" t="s">
        <v>18</v>
      </c>
      <c r="D185" t="s">
        <v>37</v>
      </c>
      <c r="E185" t="s">
        <v>23</v>
      </c>
      <c r="F185" t="s">
        <v>24</v>
      </c>
      <c r="G185">
        <v>11</v>
      </c>
      <c r="H185">
        <v>43806</v>
      </c>
      <c r="I185" s="1">
        <v>0.1</v>
      </c>
      <c r="J185" s="2">
        <v>433679.4</v>
      </c>
    </row>
    <row r="186" spans="1:10" x14ac:dyDescent="0.3">
      <c r="A186" t="s">
        <v>338</v>
      </c>
      <c r="B186" t="s">
        <v>97</v>
      </c>
      <c r="C186" t="s">
        <v>48</v>
      </c>
      <c r="D186" t="s">
        <v>13</v>
      </c>
      <c r="E186" t="s">
        <v>27</v>
      </c>
      <c r="F186" t="s">
        <v>15</v>
      </c>
      <c r="G186">
        <v>2</v>
      </c>
      <c r="H186">
        <v>1634</v>
      </c>
      <c r="I186" s="1">
        <v>0.15</v>
      </c>
      <c r="J186" s="2">
        <v>2777.8</v>
      </c>
    </row>
    <row r="187" spans="1:10" x14ac:dyDescent="0.3">
      <c r="A187" t="s">
        <v>339</v>
      </c>
      <c r="B187" t="s">
        <v>340</v>
      </c>
      <c r="C187" t="s">
        <v>44</v>
      </c>
      <c r="D187" t="s">
        <v>13</v>
      </c>
      <c r="E187" t="s">
        <v>14</v>
      </c>
      <c r="F187" t="s">
        <v>15</v>
      </c>
      <c r="G187">
        <v>11</v>
      </c>
      <c r="H187">
        <v>2548</v>
      </c>
      <c r="I187" s="1">
        <v>0</v>
      </c>
      <c r="J187" s="2">
        <v>28028</v>
      </c>
    </row>
    <row r="188" spans="1:10" x14ac:dyDescent="0.3">
      <c r="A188" t="s">
        <v>341</v>
      </c>
      <c r="B188" t="s">
        <v>342</v>
      </c>
      <c r="C188" t="s">
        <v>36</v>
      </c>
      <c r="D188" t="s">
        <v>13</v>
      </c>
      <c r="E188" t="s">
        <v>27</v>
      </c>
      <c r="F188" t="s">
        <v>15</v>
      </c>
      <c r="G188">
        <v>13</v>
      </c>
      <c r="H188">
        <v>1519</v>
      </c>
      <c r="I188" s="1">
        <v>0</v>
      </c>
      <c r="J188" s="2">
        <v>19747</v>
      </c>
    </row>
    <row r="189" spans="1:10" x14ac:dyDescent="0.3">
      <c r="A189" t="s">
        <v>343</v>
      </c>
      <c r="B189" t="s">
        <v>185</v>
      </c>
      <c r="C189" t="s">
        <v>12</v>
      </c>
      <c r="D189" t="s">
        <v>19</v>
      </c>
      <c r="E189" t="s">
        <v>38</v>
      </c>
      <c r="F189" t="s">
        <v>24</v>
      </c>
      <c r="G189">
        <v>4</v>
      </c>
      <c r="H189">
        <v>15939</v>
      </c>
      <c r="I189" s="1">
        <v>0.05</v>
      </c>
      <c r="J189" s="2">
        <v>60568.2</v>
      </c>
    </row>
    <row r="190" spans="1:10" x14ac:dyDescent="0.3">
      <c r="A190" t="s">
        <v>344</v>
      </c>
      <c r="B190" t="s">
        <v>345</v>
      </c>
      <c r="C190" t="s">
        <v>44</v>
      </c>
      <c r="D190" t="s">
        <v>13</v>
      </c>
      <c r="E190" t="s">
        <v>31</v>
      </c>
      <c r="F190" t="s">
        <v>24</v>
      </c>
      <c r="G190">
        <v>14</v>
      </c>
      <c r="H190">
        <v>13161</v>
      </c>
      <c r="I190" s="1">
        <v>0.05</v>
      </c>
      <c r="J190" s="2">
        <v>175041.3</v>
      </c>
    </row>
    <row r="191" spans="1:10" x14ac:dyDescent="0.3">
      <c r="A191" t="s">
        <v>346</v>
      </c>
      <c r="B191" t="s">
        <v>212</v>
      </c>
      <c r="C191" t="s">
        <v>44</v>
      </c>
      <c r="D191" t="s">
        <v>13</v>
      </c>
      <c r="E191" t="s">
        <v>23</v>
      </c>
      <c r="F191" t="s">
        <v>24</v>
      </c>
      <c r="G191">
        <v>11</v>
      </c>
      <c r="H191">
        <v>48298</v>
      </c>
      <c r="I191" s="1">
        <v>0.05</v>
      </c>
      <c r="J191" s="2">
        <v>504714.1</v>
      </c>
    </row>
    <row r="192" spans="1:10" x14ac:dyDescent="0.3">
      <c r="A192" t="s">
        <v>347</v>
      </c>
      <c r="B192" t="s">
        <v>240</v>
      </c>
      <c r="C192" t="s">
        <v>12</v>
      </c>
      <c r="D192" t="s">
        <v>22</v>
      </c>
      <c r="E192" t="s">
        <v>38</v>
      </c>
      <c r="F192" t="s">
        <v>24</v>
      </c>
      <c r="G192">
        <v>6</v>
      </c>
      <c r="H192">
        <v>13547</v>
      </c>
      <c r="I192" s="1">
        <v>0.1</v>
      </c>
      <c r="J192" s="2">
        <v>73153.8</v>
      </c>
    </row>
    <row r="193" spans="1:10" x14ac:dyDescent="0.3">
      <c r="A193" t="s">
        <v>348</v>
      </c>
      <c r="B193" t="s">
        <v>349</v>
      </c>
      <c r="C193" t="s">
        <v>44</v>
      </c>
      <c r="D193" t="s">
        <v>19</v>
      </c>
      <c r="E193" t="s">
        <v>38</v>
      </c>
      <c r="F193" t="s">
        <v>24</v>
      </c>
      <c r="G193">
        <v>2</v>
      </c>
      <c r="H193">
        <v>15736</v>
      </c>
      <c r="I193" s="1">
        <v>0.15</v>
      </c>
      <c r="J193" s="2">
        <v>26751.200000000001</v>
      </c>
    </row>
    <row r="194" spans="1:10" x14ac:dyDescent="0.3">
      <c r="A194" t="s">
        <v>350</v>
      </c>
      <c r="B194" t="s">
        <v>351</v>
      </c>
      <c r="C194" t="s">
        <v>48</v>
      </c>
      <c r="D194" t="s">
        <v>37</v>
      </c>
      <c r="E194" t="s">
        <v>45</v>
      </c>
      <c r="F194" t="s">
        <v>15</v>
      </c>
      <c r="G194">
        <v>9</v>
      </c>
      <c r="H194">
        <v>755</v>
      </c>
      <c r="I194" s="1">
        <v>0</v>
      </c>
      <c r="J194" s="2">
        <v>6795</v>
      </c>
    </row>
    <row r="195" spans="1:10" x14ac:dyDescent="0.3">
      <c r="A195" t="s">
        <v>352</v>
      </c>
      <c r="B195" t="s">
        <v>353</v>
      </c>
      <c r="C195" t="s">
        <v>18</v>
      </c>
      <c r="D195" t="s">
        <v>22</v>
      </c>
      <c r="E195" t="s">
        <v>45</v>
      </c>
      <c r="F195" t="s">
        <v>15</v>
      </c>
      <c r="G195">
        <v>11</v>
      </c>
      <c r="H195">
        <v>874</v>
      </c>
      <c r="I195" s="1">
        <v>0</v>
      </c>
      <c r="J195" s="2">
        <v>9614</v>
      </c>
    </row>
    <row r="196" spans="1:10" x14ac:dyDescent="0.3">
      <c r="A196" t="s">
        <v>354</v>
      </c>
      <c r="B196" t="s">
        <v>115</v>
      </c>
      <c r="C196" t="s">
        <v>30</v>
      </c>
      <c r="D196" t="s">
        <v>37</v>
      </c>
      <c r="E196" t="s">
        <v>14</v>
      </c>
      <c r="F196" t="s">
        <v>15</v>
      </c>
      <c r="G196">
        <v>2</v>
      </c>
      <c r="H196">
        <v>2495</v>
      </c>
      <c r="I196" s="1">
        <v>0.15</v>
      </c>
      <c r="J196" s="2">
        <v>4241.5</v>
      </c>
    </row>
    <row r="197" spans="1:10" x14ac:dyDescent="0.3">
      <c r="A197" t="s">
        <v>355</v>
      </c>
      <c r="B197" t="s">
        <v>194</v>
      </c>
      <c r="C197" t="s">
        <v>48</v>
      </c>
      <c r="D197" t="s">
        <v>37</v>
      </c>
      <c r="E197" t="s">
        <v>38</v>
      </c>
      <c r="F197" t="s">
        <v>24</v>
      </c>
      <c r="G197">
        <v>3</v>
      </c>
      <c r="H197">
        <v>13697</v>
      </c>
      <c r="I197" s="1">
        <v>0.1</v>
      </c>
      <c r="J197" s="2">
        <v>36981.9</v>
      </c>
    </row>
    <row r="198" spans="1:10" x14ac:dyDescent="0.3">
      <c r="A198" t="s">
        <v>356</v>
      </c>
      <c r="B198" t="s">
        <v>125</v>
      </c>
      <c r="C198" t="s">
        <v>36</v>
      </c>
      <c r="D198" t="s">
        <v>22</v>
      </c>
      <c r="E198" t="s">
        <v>45</v>
      </c>
      <c r="F198" t="s">
        <v>15</v>
      </c>
      <c r="G198">
        <v>10</v>
      </c>
      <c r="H198">
        <v>804</v>
      </c>
      <c r="I198" s="1">
        <v>0.15</v>
      </c>
      <c r="J198" s="2">
        <v>6834</v>
      </c>
    </row>
    <row r="199" spans="1:10" x14ac:dyDescent="0.3">
      <c r="A199" t="s">
        <v>357</v>
      </c>
      <c r="B199" t="s">
        <v>358</v>
      </c>
      <c r="C199" t="s">
        <v>18</v>
      </c>
      <c r="D199" t="s">
        <v>13</v>
      </c>
      <c r="E199" t="s">
        <v>23</v>
      </c>
      <c r="F199" t="s">
        <v>24</v>
      </c>
      <c r="G199">
        <v>13</v>
      </c>
      <c r="H199">
        <v>46816</v>
      </c>
      <c r="I199" s="1">
        <v>0.05</v>
      </c>
      <c r="J199" s="2">
        <v>578177.6</v>
      </c>
    </row>
    <row r="200" spans="1:10" x14ac:dyDescent="0.3">
      <c r="A200" t="s">
        <v>359</v>
      </c>
      <c r="B200" t="s">
        <v>169</v>
      </c>
      <c r="C200" t="s">
        <v>48</v>
      </c>
      <c r="D200" t="s">
        <v>19</v>
      </c>
      <c r="E200" t="s">
        <v>45</v>
      </c>
      <c r="F200" t="s">
        <v>15</v>
      </c>
      <c r="G200">
        <v>6</v>
      </c>
      <c r="H200">
        <v>852</v>
      </c>
      <c r="I200" s="1">
        <v>0.15</v>
      </c>
      <c r="J200" s="2">
        <v>4345.2</v>
      </c>
    </row>
    <row r="201" spans="1:10" x14ac:dyDescent="0.3">
      <c r="A201" t="s">
        <v>360</v>
      </c>
      <c r="B201" t="s">
        <v>72</v>
      </c>
      <c r="C201" t="s">
        <v>12</v>
      </c>
      <c r="D201" t="s">
        <v>22</v>
      </c>
      <c r="E201" t="s">
        <v>31</v>
      </c>
      <c r="F201" t="s">
        <v>24</v>
      </c>
      <c r="G201">
        <v>7</v>
      </c>
      <c r="H201">
        <v>11550</v>
      </c>
      <c r="I201" s="1">
        <v>0.1</v>
      </c>
      <c r="J201" s="2">
        <v>72765</v>
      </c>
    </row>
    <row r="202" spans="1:10" x14ac:dyDescent="0.3">
      <c r="I202" s="1"/>
      <c r="J202"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 KIRTI</cp:lastModifiedBy>
  <dcterms:created xsi:type="dcterms:W3CDTF">2026-09-02T07:34:24Z</dcterms:created>
  <dcterms:modified xsi:type="dcterms:W3CDTF">2026-09-02T09:05:14Z</dcterms:modified>
</cp:coreProperties>
</file>